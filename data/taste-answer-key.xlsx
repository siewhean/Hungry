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nswer key" sheetId="1" state="visible" r:id="rId1"/>
    <sheet xmlns:r="http://schemas.openxmlformats.org/officeDocument/2006/relationships" name="How to score" sheetId="2" state="visible" r:id="rId2"/>
    <sheet xmlns:r="http://schemas.openxmlformats.org/officeDocument/2006/relationships" name="Research &amp; method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color theme="1"/>
      <sz val="11"/>
    </font>
    <font>
      <b val="1"/>
    </font>
    <font>
      <b val="1"/>
      <color rgb="FFFFFFFF"/>
      <sz val="11"/>
    </font>
    <font>
      <name val="Calibri"/>
      <color rgb="FF183153"/>
      <sz val="11"/>
    </font>
    <font>
      <name val="Calibri"/>
      <b val="1"/>
      <color rgb="FF183153"/>
      <sz val="11"/>
    </font>
    <font>
      <name val="Calibri"/>
      <b val="1"/>
      <color rgb="FFFFFFFF"/>
      <sz val="16"/>
    </font>
    <font>
      <name val="Calibri"/>
      <color rgb="FF155E75"/>
      <sz val="11"/>
    </font>
    <font>
      <name val="Calibri"/>
      <b val="1"/>
      <color theme="1"/>
      <sz val="11"/>
    </font>
    <font>
      <name val="Calibri"/>
      <color rgb="FF087E8B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</fonts>
  <fills count="8">
    <fill>
      <patternFill/>
    </fill>
    <fill>
      <patternFill patternType="gray125"/>
    </fill>
    <fill>
      <patternFill patternType="solid">
        <fgColor rgb="FF183153"/>
      </patternFill>
    </fill>
    <fill>
      <patternFill patternType="solid">
        <fgColor rgb="FFEFFAF5"/>
      </patternFill>
    </fill>
    <fill>
      <patternFill patternType="solid">
        <fgColor rgb="FFF8FAFC"/>
      </patternFill>
    </fill>
    <fill>
      <patternFill patternType="solid">
        <fgColor rgb="FFE6F5F6"/>
      </patternFill>
    </fill>
    <fill>
      <patternFill patternType="solid">
        <fgColor rgb="FF087E8B"/>
      </patternFill>
    </fill>
    <fill>
      <patternFill patternType="solid">
        <fgColor rgb="FFF3F7FB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vertical="center"/>
    </xf>
    <xf numFmtId="0" fontId="1" fillId="2" borderId="1" pivotButton="0" quotePrefix="0" xfId="0"/>
    <xf numFmtId="0" fontId="2" fillId="2" borderId="1" pivotButton="0" quotePrefix="0" xfId="0"/>
    <xf numFmtId="0" fontId="2" fillId="2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164" fontId="0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horizontal="center" vertical="center"/>
    </xf>
    <xf numFmtId="0" fontId="0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vertical="center"/>
    </xf>
    <xf numFmtId="0" fontId="0" fillId="2" borderId="1" pivotButton="0" quotePrefix="0" xfId="0"/>
    <xf numFmtId="0" fontId="5" fillId="2" borderId="1" pivotButton="0" quotePrefix="0" xfId="0"/>
    <xf numFmtId="0" fontId="5" fillId="2" borderId="1" applyAlignment="1" pivotButton="0" quotePrefix="0" xfId="0">
      <alignment vertical="center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vertical="center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vertical="center"/>
    </xf>
    <xf numFmtId="0" fontId="7" fillId="0" borderId="0" pivotButton="0" quotePrefix="0" xfId="0"/>
    <xf numFmtId="0" fontId="7" fillId="0" borderId="1" pivotButton="0" quotePrefix="0" xfId="0"/>
    <xf numFmtId="0" fontId="8" fillId="0" borderId="0" pivotButton="0" quotePrefix="0" xfId="0"/>
    <xf numFmtId="0" fontId="8" fillId="0" borderId="1" pivotButton="0" quotePrefix="0" xfId="0"/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center"/>
    </xf>
    <xf numFmtId="0" fontId="0" fillId="6" borderId="1" pivotButton="0" quotePrefix="0" xfId="0"/>
    <xf numFmtId="0" fontId="9" fillId="6" borderId="1" pivotButton="0" quotePrefix="0" xfId="0"/>
    <xf numFmtId="0" fontId="9" fillId="6" borderId="1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9" fillId="2" borderId="1" pivotButton="0" quotePrefix="0" xfId="0"/>
    <xf numFmtId="0" fontId="9" fillId="2" borderId="1" applyAlignment="1" pivotButton="0" quotePrefix="0" xfId="0">
      <alignment vertical="center"/>
    </xf>
    <xf numFmtId="0" fontId="0" fillId="7" borderId="0" applyAlignment="1" pivotButton="0" quotePrefix="0" xfId="0">
      <alignment wrapText="1"/>
    </xf>
    <xf numFmtId="0" fontId="0" fillId="7" borderId="1" applyAlignment="1" pivotButton="0" quotePrefix="0" xfId="0">
      <alignment wrapText="1"/>
    </xf>
    <xf numFmtId="0" fontId="0" fillId="2" borderId="0" applyAlignment="1" pivotButton="0" quotePrefix="0" xfId="0">
      <alignment wrapText="1"/>
    </xf>
    <xf numFmtId="0" fontId="10" fillId="2" borderId="0" applyAlignment="1" pivotButton="0" quotePrefix="0" xfId="0">
      <alignment wrapText="1"/>
    </xf>
    <xf numFmtId="0" fontId="10" fillId="2" borderId="0" applyAlignment="1" pivotButton="0" quotePrefix="0" xfId="0">
      <alignment vertical="center" wrapText="1"/>
    </xf>
    <xf numFmtId="164" fontId="0" fillId="0" borderId="0" applyAlignment="1" pivotButton="0" quotePrefix="0" xfId="0">
      <alignment horizontal="center" vertical="center"/>
    </xf>
    <xf numFmtId="164" fontId="0" fillId="4" borderId="0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3" customWidth="1" min="1" max="1"/>
    <col width="69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70" customWidth="1" min="9" max="9"/>
  </cols>
  <sheetData>
    <row r="1" ht="32" customFormat="1" customHeight="1" s="1">
      <c r="A1" s="6" t="inlineStr">
        <is>
          <t>Dish</t>
        </is>
      </c>
      <c r="B1" s="6" t="inlineStr">
        <is>
          <t>What it is</t>
        </is>
      </c>
      <c r="C1" s="6" t="inlineStr">
        <is>
          <t>Sweet</t>
        </is>
      </c>
      <c r="D1" s="6" t="inlineStr">
        <is>
          <t>Spicy</t>
        </is>
      </c>
      <c r="E1" s="6" t="inlineStr">
        <is>
          <t>Sour</t>
        </is>
      </c>
      <c r="F1" s="6" t="inlineStr">
        <is>
          <t>Salty</t>
        </is>
      </c>
      <c r="G1" s="6" t="inlineStr">
        <is>
          <t>Rich</t>
        </is>
      </c>
      <c r="H1" s="6" t="inlineStr">
        <is>
          <t>Aromatic</t>
        </is>
      </c>
      <c r="I1" s="6" t="inlineStr">
        <is>
          <t>Notes</t>
        </is>
      </c>
    </row>
    <row r="2" ht="34" customHeight="1">
      <c r="A2" s="24" t="inlineStr">
        <is>
          <t>Hainanese chicken rice</t>
        </is>
      </c>
      <c r="B2" s="21" t="inlineStr">
        <is>
          <t>Poached chicken, rice cooked in chicken fat, chilli and ginger</t>
        </is>
      </c>
      <c r="C2" s="65" t="n">
        <v>1</v>
      </c>
      <c r="D2" s="65" t="n">
        <v>3</v>
      </c>
      <c r="E2" s="65" t="n">
        <v>2</v>
      </c>
      <c r="F2" s="65" t="n">
        <v>5.5</v>
      </c>
      <c r="G2" s="65" t="n">
        <v>5.5</v>
      </c>
      <c r="H2" s="65" t="n">
        <v>7.5</v>
      </c>
      <c r="I2" s="12" t="inlineStr">
        <is>
          <t>Fragrant ginger/chicken-fat rice; heat and tang come mainly from optional chilli.  [S01]</t>
        </is>
      </c>
    </row>
    <row r="3" ht="34" customHeight="1">
      <c r="A3" s="24" t="inlineStr">
        <is>
          <t>Laksa</t>
        </is>
      </c>
      <c r="B3" s="21" t="inlineStr">
        <is>
          <t>Curry laksa: thick noodles in spicy coconut-milk broth with cockles</t>
        </is>
      </c>
      <c r="C3" s="65" t="n">
        <v>2.5</v>
      </c>
      <c r="D3" s="65" t="n">
        <v>6</v>
      </c>
      <c r="E3" s="65" t="n">
        <v>1</v>
      </c>
      <c r="F3" s="65" t="n">
        <v>6.5</v>
      </c>
      <c r="G3" s="65" t="n">
        <v>8.5</v>
      </c>
      <c r="H3" s="65" t="n">
        <v>9</v>
      </c>
      <c r="I3" s="12" t="inlineStr">
        <is>
          <t>Coconut-rich rempah broth; sambal and laksa leaves build heat and fragrance.  [S01]</t>
        </is>
      </c>
    </row>
    <row r="4" ht="34" customHeight="1">
      <c r="A4" s="24" t="inlineStr">
        <is>
          <t>Chendol</t>
        </is>
      </c>
      <c r="B4" s="21" t="inlineStr">
        <is>
          <t>Shaved ice with green pandan jelly, coconut milk and gula melaka</t>
        </is>
      </c>
      <c r="C4" s="65" t="n">
        <v>9</v>
      </c>
      <c r="D4" s="65" t="n">
        <v>0</v>
      </c>
      <c r="E4" s="65" t="n">
        <v>0</v>
      </c>
      <c r="F4" s="65" t="n">
        <v>0.5</v>
      </c>
      <c r="G4" s="65" t="n">
        <v>7</v>
      </c>
      <c r="H4" s="65" t="n">
        <v>7</v>
      </c>
      <c r="I4" s="12" t="inlineStr">
        <is>
          <t>Gula melaka dominates sweetness; coconut milk adds richness, pandan adds aroma.  [S03]</t>
        </is>
      </c>
    </row>
    <row r="5" ht="34" customHeight="1">
      <c r="A5" s="24" t="inlineStr">
        <is>
          <t>Assam fish</t>
        </is>
      </c>
      <c r="B5" s="21" t="inlineStr">
        <is>
          <t>Fish in sour, spicy tamarind gravy</t>
        </is>
      </c>
      <c r="C5" s="65" t="n">
        <v>2</v>
      </c>
      <c r="D5" s="65" t="n">
        <v>7</v>
      </c>
      <c r="E5" s="65" t="n">
        <v>9</v>
      </c>
      <c r="F5" s="65" t="n">
        <v>6.5</v>
      </c>
      <c r="G5" s="65" t="n">
        <v>4</v>
      </c>
      <c r="H5" s="65" t="n">
        <v>8.5</v>
      </c>
      <c r="I5" s="12" t="inlineStr">
        <is>
          <t>Tamarind drives pronounced sourness; chilli-rempah adds heat and fragrance.  [S04]</t>
        </is>
      </c>
    </row>
    <row r="6" ht="34" customHeight="1">
      <c r="A6" s="26" t="inlineStr">
        <is>
          <t>Char kway teow</t>
        </is>
      </c>
      <c r="B6" s="27" t="inlineStr">
        <is>
          <t>Flat rice noodles fried with dark soy, lard, cockles and Chinese sausage</t>
        </is>
      </c>
      <c r="C6" s="66" t="n">
        <v>5.5</v>
      </c>
      <c r="D6" s="66" t="n">
        <v>1.5</v>
      </c>
      <c r="E6" s="66" t="n">
        <v>0.5</v>
      </c>
      <c r="F6" s="66" t="n">
        <v>7</v>
      </c>
      <c r="G6" s="66" t="n">
        <v>8</v>
      </c>
      <c r="H6" s="66" t="n">
        <v>9</v>
      </c>
      <c r="I6" s="27" t="inlineStr">
        <is>
          <t>Sweet dark soy, fried lard and wok hei; chilli is not the main flavour.  [S02]</t>
        </is>
      </c>
    </row>
    <row r="7" ht="34" customHeight="1">
      <c r="A7" s="18" t="inlineStr">
        <is>
          <t>Bak chor mee (dry)</t>
        </is>
      </c>
      <c r="B7" s="12" t="inlineStr">
        <is>
          <t>Minced pork noodles tossed in black vinegar, chilli and lard</t>
        </is>
      </c>
      <c r="C7" s="65" t="n">
        <v>1.5</v>
      </c>
      <c r="D7" s="65" t="n">
        <v>5.5</v>
      </c>
      <c r="E7" s="65" t="n">
        <v>8</v>
      </c>
      <c r="F7" s="65" t="n">
        <v>7</v>
      </c>
      <c r="G7" s="65" t="n">
        <v>6</v>
      </c>
      <c r="H7" s="65" t="n">
        <v>7</v>
      </c>
      <c r="I7" s="12" t="inlineStr">
        <is>
          <t>Black vinegar provides sharp tang; chilli, pork lard and sauce add body.  [S01]</t>
        </is>
      </c>
    </row>
    <row r="8" ht="34" customHeight="1">
      <c r="A8" s="26" t="inlineStr">
        <is>
          <t>Fishball noodles (dry)</t>
        </is>
      </c>
      <c r="B8" s="27" t="inlineStr">
        <is>
          <t>Mee pok with fishballs, chilli and vinegar</t>
        </is>
      </c>
      <c r="C8" s="66" t="n">
        <v>1.5</v>
      </c>
      <c r="D8" s="66" t="n">
        <v>4.5</v>
      </c>
      <c r="E8" s="66" t="n">
        <v>6</v>
      </c>
      <c r="F8" s="66" t="n">
        <v>6.5</v>
      </c>
      <c r="G8" s="66" t="n">
        <v>4.5</v>
      </c>
      <c r="H8" s="66" t="n">
        <v>5.5</v>
      </c>
      <c r="I8" s="27" t="inlineStr">
        <is>
          <t>Dry chilli-vinegar dressing adds tang and medium heat; fishballs are mild.  [S02]</t>
        </is>
      </c>
    </row>
    <row r="9" ht="34" customHeight="1">
      <c r="A9" s="18" t="inlineStr">
        <is>
          <t>Hokkien mee</t>
        </is>
      </c>
      <c r="B9" s="12" t="inlineStr">
        <is>
          <t>Prawn noodles fried in rich prawn stock, with sambal and lime</t>
        </is>
      </c>
      <c r="C9" s="65" t="n">
        <v>1.5</v>
      </c>
      <c r="D9" s="65" t="n">
        <v>3.5</v>
      </c>
      <c r="E9" s="65" t="n">
        <v>2.5</v>
      </c>
      <c r="F9" s="65" t="n">
        <v>7.5</v>
      </c>
      <c r="G9" s="65" t="n">
        <v>6.5</v>
      </c>
      <c r="H9" s="65" t="n">
        <v>8.5</v>
      </c>
      <c r="I9" s="12" t="inlineStr">
        <is>
          <t>Concentrated prawn-pork stock; sambal and calamansi raise heat and sourness.  [S01]</t>
        </is>
      </c>
    </row>
    <row r="10" ht="34" customHeight="1">
      <c r="A10" s="26" t="inlineStr">
        <is>
          <t>Nasi lemak</t>
        </is>
      </c>
      <c r="B10" s="27" t="inlineStr">
        <is>
          <t>Coconut rice with sambal, ikan bilis, peanuts, egg and fried chicken</t>
        </is>
      </c>
      <c r="C10" s="66" t="n">
        <v>3</v>
      </c>
      <c r="D10" s="66" t="n">
        <v>6</v>
      </c>
      <c r="E10" s="66" t="n">
        <v>1.5</v>
      </c>
      <c r="F10" s="66" t="n">
        <v>6.5</v>
      </c>
      <c r="G10" s="66" t="n">
        <v>8</v>
      </c>
      <c r="H10" s="66" t="n">
        <v>8.5</v>
      </c>
      <c r="I10" s="27" t="inlineStr">
        <is>
          <t>Coconut-pandan rice plus savoury sides; sambal is the main heat source.  [S11]</t>
        </is>
      </c>
    </row>
    <row r="11" ht="34" customHeight="1">
      <c r="A11" s="18" t="inlineStr">
        <is>
          <t>Chilli crab</t>
        </is>
      </c>
      <c r="B11" s="12" t="inlineStr">
        <is>
          <t>Mud crab in sweet, spicy tomato and egg gravy</t>
        </is>
      </c>
      <c r="C11" s="65" t="n">
        <v>7.5</v>
      </c>
      <c r="D11" s="65" t="n">
        <v>5.5</v>
      </c>
      <c r="E11" s="65" t="n">
        <v>3.5</v>
      </c>
      <c r="F11" s="65" t="n">
        <v>6.5</v>
      </c>
      <c r="G11" s="65" t="n">
        <v>6.5</v>
      </c>
      <c r="H11" s="65" t="n">
        <v>7.5</v>
      </c>
      <c r="I11" s="12" t="inlineStr">
        <is>
          <t>Sweet tomato-chilli gravy with mild tang and moderate heat; egg adds body.  [S05]</t>
        </is>
      </c>
    </row>
    <row r="12" ht="34" customHeight="1">
      <c r="A12" s="26" t="inlineStr">
        <is>
          <t>Black pepper crab</t>
        </is>
      </c>
      <c r="B12" s="27" t="inlineStr">
        <is>
          <t>Crab wok-fried with heavy black pepper and butter</t>
        </is>
      </c>
      <c r="C12" s="66" t="n">
        <v>2.5</v>
      </c>
      <c r="D12" s="66" t="n">
        <v>7</v>
      </c>
      <c r="E12" s="66" t="n">
        <v>0.5</v>
      </c>
      <c r="F12" s="66" t="n">
        <v>7</v>
      </c>
      <c r="G12" s="66" t="n">
        <v>8</v>
      </c>
      <c r="H12" s="66" t="n">
        <v>9</v>
      </c>
      <c r="I12" s="27" t="inlineStr">
        <is>
          <t>Black-pepper warmth dominates; butter/oil and wok-fried pepper intensify richness.  [S05]</t>
        </is>
      </c>
    </row>
    <row r="13" ht="34" customHeight="1">
      <c r="A13" s="18" t="inlineStr">
        <is>
          <t>Bak kut teh (Teochew)</t>
        </is>
      </c>
      <c r="B13" s="12" t="inlineStr">
        <is>
          <t>Peppery, garlicky pork rib soup</t>
        </is>
      </c>
      <c r="C13" s="65" t="n">
        <v>0.5</v>
      </c>
      <c r="D13" s="65" t="n">
        <v>4.5</v>
      </c>
      <c r="E13" s="65" t="n">
        <v>0</v>
      </c>
      <c r="F13" s="65" t="n">
        <v>6.5</v>
      </c>
      <c r="G13" s="65" t="n">
        <v>4</v>
      </c>
      <c r="H13" s="65" t="n">
        <v>7</v>
      </c>
      <c r="I13" s="12" t="inlineStr">
        <is>
          <t>Clear Teochew-style broth; white pepper and garlic, not chilli, supply warmth.  [S06]</t>
        </is>
      </c>
    </row>
    <row r="14" ht="34" customHeight="1">
      <c r="A14" s="26" t="inlineStr">
        <is>
          <t>Satay</t>
        </is>
      </c>
      <c r="B14" s="27" t="inlineStr">
        <is>
          <t>Grilled marinated chicken skewers with peanut sauce</t>
        </is>
      </c>
      <c r="C14" s="66" t="n">
        <v>5.5</v>
      </c>
      <c r="D14" s="66" t="n">
        <v>3</v>
      </c>
      <c r="E14" s="66" t="n">
        <v>1.5</v>
      </c>
      <c r="F14" s="66" t="n">
        <v>6</v>
      </c>
      <c r="G14" s="66" t="n">
        <v>6.5</v>
      </c>
      <c r="H14" s="66" t="n">
        <v>9</v>
      </c>
      <c r="I14" s="27" t="inlineStr">
        <is>
          <t>Sweet-spiced marinade, charcoal smoke and nutty peanut sauce; gentle heat.  [S01]</t>
        </is>
      </c>
    </row>
    <row r="15" ht="34" customHeight="1">
      <c r="A15" s="18" t="inlineStr">
        <is>
          <t>Rojak</t>
        </is>
      </c>
      <c r="B15" s="12" t="inlineStr">
        <is>
          <t>Fruit and vegetables tossed in prawn paste, sugar and peanuts</t>
        </is>
      </c>
      <c r="C15" s="65" t="n">
        <v>7.5</v>
      </c>
      <c r="D15" s="65" t="n">
        <v>3.5</v>
      </c>
      <c r="E15" s="65" t="n">
        <v>5.5</v>
      </c>
      <c r="F15" s="65" t="n">
        <v>5.5</v>
      </c>
      <c r="G15" s="65" t="n">
        <v>3.5</v>
      </c>
      <c r="H15" s="65" t="n">
        <v>6</v>
      </c>
      <c r="I15" s="12" t="inlineStr">
        <is>
          <t>Sweet prawn-paste dressing with tangy fruit, chilli and crushed peanuts.  [S09]</t>
        </is>
      </c>
    </row>
    <row r="16" ht="34" customHeight="1">
      <c r="A16" s="26" t="inlineStr">
        <is>
          <t>Carrot cake (black)</t>
        </is>
      </c>
      <c r="B16" s="27" t="inlineStr">
        <is>
          <t>Radish cake fried with sweet dark soy and egg</t>
        </is>
      </c>
      <c r="C16" s="66" t="n">
        <v>6</v>
      </c>
      <c r="D16" s="66" t="n">
        <v>1.5</v>
      </c>
      <c r="E16" s="66" t="n">
        <v>0.5</v>
      </c>
      <c r="F16" s="66" t="n">
        <v>6</v>
      </c>
      <c r="G16" s="66" t="n">
        <v>7.5</v>
      </c>
      <c r="H16" s="66" t="n">
        <v>8.5</v>
      </c>
      <c r="I16" s="27" t="inlineStr">
        <is>
          <t>Sweet dark soy makes black carrot cake sweeter; eggs/oil and wok hei remain strong.  [S01]</t>
        </is>
      </c>
    </row>
    <row r="17" ht="34" customHeight="1">
      <c r="A17" s="18" t="inlineStr">
        <is>
          <t>Carrot cake (white)</t>
        </is>
      </c>
      <c r="B17" s="12" t="inlineStr">
        <is>
          <t>Radish cake fried with egg and preserved radish</t>
        </is>
      </c>
      <c r="C17" s="65" t="n">
        <v>1.5</v>
      </c>
      <c r="D17" s="65" t="n">
        <v>1.5</v>
      </c>
      <c r="E17" s="65" t="n">
        <v>0.5</v>
      </c>
      <c r="F17" s="65" t="n">
        <v>6.5</v>
      </c>
      <c r="G17" s="65" t="n">
        <v>7.5</v>
      </c>
      <c r="H17" s="65" t="n">
        <v>8.5</v>
      </c>
      <c r="I17" s="12" t="inlineStr">
        <is>
          <t>White version omits sweet dark soy; preserved radish, egg and wok hei lead.  [S01]</t>
        </is>
      </c>
    </row>
    <row r="18" ht="34" customHeight="1">
      <c r="A18" s="26" t="inlineStr">
        <is>
          <t>Roti prata with curry</t>
        </is>
      </c>
      <c r="B18" s="27" t="inlineStr">
        <is>
          <t>Flaky fried flatbread with fish curry dip</t>
        </is>
      </c>
      <c r="C18" s="66" t="n">
        <v>0.5</v>
      </c>
      <c r="D18" s="66" t="n">
        <v>5.5</v>
      </c>
      <c r="E18" s="66" t="n">
        <v>2</v>
      </c>
      <c r="F18" s="66" t="n">
        <v>6.5</v>
      </c>
      <c r="G18" s="66" t="n">
        <v>8</v>
      </c>
      <c r="H18" s="66" t="n">
        <v>8</v>
      </c>
      <c r="I18" s="27" t="inlineStr">
        <is>
          <t>Buttery/oily prata paired with spiced fish curry; sourness varies with curry.  [S13]</t>
        </is>
      </c>
    </row>
    <row r="19" ht="34" customHeight="1">
      <c r="A19" s="18" t="inlineStr">
        <is>
          <t>Murtabak</t>
        </is>
      </c>
      <c r="B19" s="12" t="inlineStr">
        <is>
          <t>Stuffed prata with minced mutton and onion, with curry</t>
        </is>
      </c>
      <c r="C19" s="65" t="n">
        <v>1.5</v>
      </c>
      <c r="D19" s="65" t="n">
        <v>5</v>
      </c>
      <c r="E19" s="65" t="n">
        <v>2</v>
      </c>
      <c r="F19" s="65" t="n">
        <v>7</v>
      </c>
      <c r="G19" s="65" t="n">
        <v>8</v>
      </c>
      <c r="H19" s="65" t="n">
        <v>8.5</v>
      </c>
      <c r="I19" s="12" t="inlineStr">
        <is>
          <t>Rich stuffed fried bread; mutton-onion filling and curry deliver spice.  [WB]</t>
        </is>
      </c>
    </row>
    <row r="20" ht="34" customHeight="1">
      <c r="A20" s="26" t="inlineStr">
        <is>
          <t>Mee goreng (Indian)</t>
        </is>
      </c>
      <c r="B20" s="27" t="inlineStr">
        <is>
          <t>Yellow noodles fried with tomato, chilli, egg and potato</t>
        </is>
      </c>
      <c r="C20" s="66" t="n">
        <v>4</v>
      </c>
      <c r="D20" s="66" t="n">
        <v>6</v>
      </c>
      <c r="E20" s="66" t="n">
        <v>4</v>
      </c>
      <c r="F20" s="66" t="n">
        <v>7</v>
      </c>
      <c r="G20" s="66" t="n">
        <v>7</v>
      </c>
      <c r="H20" s="66" t="n">
        <v>8</v>
      </c>
      <c r="I20" s="27" t="inlineStr">
        <is>
          <t>Tomato and chilli sauce balances mild sweetness/tang with fried-noodle aroma.  [WB]</t>
        </is>
      </c>
    </row>
    <row r="21" ht="34" customHeight="1">
      <c r="A21" s="18" t="inlineStr">
        <is>
          <t>Mee siam</t>
        </is>
      </c>
      <c r="B21" s="12" t="inlineStr">
        <is>
          <t>Thin rice noodles in sweet-sour-spicy tamarind gravy</t>
        </is>
      </c>
      <c r="C21" s="65" t="n">
        <v>5.5</v>
      </c>
      <c r="D21" s="65" t="n">
        <v>5</v>
      </c>
      <c r="E21" s="65" t="n">
        <v>8</v>
      </c>
      <c r="F21" s="65" t="n">
        <v>6</v>
      </c>
      <c r="G21" s="65" t="n">
        <v>4.5</v>
      </c>
      <c r="H21" s="65" t="n">
        <v>7.5</v>
      </c>
      <c r="I21" s="12" t="inlineStr">
        <is>
          <t>Tamarind gravy is boldly sweet-sour; sambal supplies a moderate chilli kick.  [S07]</t>
        </is>
      </c>
    </row>
    <row r="22" ht="34" customHeight="1">
      <c r="A22" s="26" t="inlineStr">
        <is>
          <t>Mee rebus</t>
        </is>
      </c>
      <c r="B22" s="27" t="inlineStr">
        <is>
          <t>Yellow noodles in thick sweet potato gravy</t>
        </is>
      </c>
      <c r="C22" s="66" t="n">
        <v>6</v>
      </c>
      <c r="D22" s="66" t="n">
        <v>3.5</v>
      </c>
      <c r="E22" s="66" t="n">
        <v>2.5</v>
      </c>
      <c r="F22" s="66" t="n">
        <v>6</v>
      </c>
      <c r="G22" s="66" t="n">
        <v>5.5</v>
      </c>
      <c r="H22" s="66" t="n">
        <v>7.5</v>
      </c>
      <c r="I22" s="27" t="inlineStr">
        <is>
          <t>Sweet potato gravy is naturally sweet and spiced; heat usually modest.  [WB]</t>
        </is>
      </c>
    </row>
    <row r="23" ht="34" customHeight="1">
      <c r="A23" s="18" t="inlineStr">
        <is>
          <t>Lor mee</t>
        </is>
      </c>
      <c r="B23" s="12" t="inlineStr">
        <is>
          <t>Thick noodles in starchy braised gravy with black vinegar</t>
        </is>
      </c>
      <c r="C23" s="65" t="n">
        <v>2.5</v>
      </c>
      <c r="D23" s="65" t="n">
        <v>3</v>
      </c>
      <c r="E23" s="65" t="n">
        <v>7</v>
      </c>
      <c r="F23" s="65" t="n">
        <v>7.5</v>
      </c>
      <c r="G23" s="65" t="n">
        <v>6.5</v>
      </c>
      <c r="H23" s="65" t="n">
        <v>6.5</v>
      </c>
      <c r="I23" s="12" t="inlineStr">
        <is>
          <t>Thick savoury braised gravy; black vinegar is a prominent sour counterpoint.  [S08]</t>
        </is>
      </c>
    </row>
    <row r="24" ht="34" customHeight="1">
      <c r="A24" s="26" t="inlineStr">
        <is>
          <t>Prawn noodle soup</t>
        </is>
      </c>
      <c r="B24" s="27" t="inlineStr">
        <is>
          <t>Noodles in deep prawn and pork bone broth</t>
        </is>
      </c>
      <c r="C24" s="66" t="n">
        <v>2</v>
      </c>
      <c r="D24" s="66" t="n">
        <v>1</v>
      </c>
      <c r="E24" s="66" t="n">
        <v>0.5</v>
      </c>
      <c r="F24" s="66" t="n">
        <v>8</v>
      </c>
      <c r="G24" s="66" t="n">
        <v>5.5</v>
      </c>
      <c r="H24" s="66" t="n">
        <v>7.5</v>
      </c>
      <c r="I24" s="27" t="inlineStr">
        <is>
          <t>Prawn and pork broth is deeply savoury; little heat without added chilli.  [S01]</t>
        </is>
      </c>
    </row>
    <row r="25" ht="34" customHeight="1">
      <c r="A25" s="18" t="inlineStr">
        <is>
          <t>Wanton mee</t>
        </is>
      </c>
      <c r="B25" s="12" t="inlineStr">
        <is>
          <t>Thin egg noodles with char siu, wantons, chilli and soy</t>
        </is>
      </c>
      <c r="C25" s="65" t="n">
        <v>4.5</v>
      </c>
      <c r="D25" s="65" t="n">
        <v>4</v>
      </c>
      <c r="E25" s="65" t="n">
        <v>1.5</v>
      </c>
      <c r="F25" s="65" t="n">
        <v>7</v>
      </c>
      <c r="G25" s="65" t="n">
        <v>5.5</v>
      </c>
      <c r="H25" s="65" t="n">
        <v>7</v>
      </c>
      <c r="I25" s="12" t="inlineStr">
        <is>
          <t>Char siu adds sweetness; soy, shallot oil and optional chilli dominate.  [S01]</t>
        </is>
      </c>
    </row>
    <row r="26" ht="34" customHeight="1">
      <c r="A26" s="26" t="inlineStr">
        <is>
          <t>Duck rice</t>
        </is>
      </c>
      <c r="B26" s="27" t="inlineStr">
        <is>
          <t>Braised duck with rice and herbal soy gravy</t>
        </is>
      </c>
      <c r="C26" s="66" t="n">
        <v>3.5</v>
      </c>
      <c r="D26" s="66" t="n">
        <v>1.5</v>
      </c>
      <c r="E26" s="66" t="n">
        <v>0.5</v>
      </c>
      <c r="F26" s="66" t="n">
        <v>7.5</v>
      </c>
      <c r="G26" s="66" t="n">
        <v>6.5</v>
      </c>
      <c r="H26" s="66" t="n">
        <v>7.5</v>
      </c>
      <c r="I26" s="27" t="inlineStr">
        <is>
          <t>Spiced soy braise brings salt and herbal aroma; chilli is usually a side.  [S12]</t>
        </is>
      </c>
    </row>
    <row r="27" ht="34" customHeight="1">
      <c r="A27" s="18" t="inlineStr">
        <is>
          <t>Char siu rice</t>
        </is>
      </c>
      <c r="B27" s="12" t="inlineStr">
        <is>
          <t>Sweet roast pork with rice and gravy</t>
        </is>
      </c>
      <c r="C27" s="65" t="n">
        <v>6</v>
      </c>
      <c r="D27" s="65" t="n">
        <v>0.5</v>
      </c>
      <c r="E27" s="65" t="n">
        <v>0.5</v>
      </c>
      <c r="F27" s="65" t="n">
        <v>6.5</v>
      </c>
      <c r="G27" s="65" t="n">
        <v>6.5</v>
      </c>
      <c r="H27" s="65" t="n">
        <v>7</v>
      </c>
      <c r="I27" s="12" t="inlineStr">
        <is>
          <t>Honey/maltose-style roast glaze drives sweetness; savoury meat balances it.  [WB]</t>
        </is>
      </c>
    </row>
    <row r="28" ht="34" customHeight="1">
      <c r="A28" s="26" t="inlineStr">
        <is>
          <t>Roast pork (siew yoke) rice</t>
        </is>
      </c>
      <c r="B28" s="27" t="inlineStr">
        <is>
          <t>Crackling roast pork belly with rice</t>
        </is>
      </c>
      <c r="C28" s="66" t="n">
        <v>1.5</v>
      </c>
      <c r="D28" s="66" t="n">
        <v>0.5</v>
      </c>
      <c r="E28" s="66" t="n">
        <v>0.5</v>
      </c>
      <c r="F28" s="66" t="n">
        <v>8</v>
      </c>
      <c r="G28" s="66" t="n">
        <v>9</v>
      </c>
      <c r="H28" s="66" t="n">
        <v>7.5</v>
      </c>
      <c r="I28" s="27" t="inlineStr">
        <is>
          <t>Crisp fatty belly and seasoned crackling dominate; minimal built-in heat.  [WB]</t>
        </is>
      </c>
    </row>
    <row r="29" ht="34" customHeight="1">
      <c r="A29" s="18" t="inlineStr">
        <is>
          <t>Fish soup (sliced fish)</t>
        </is>
      </c>
      <c r="B29" s="12" t="inlineStr">
        <is>
          <t>Clear soup with sliced fish and vegetables</t>
        </is>
      </c>
      <c r="C29" s="65" t="n">
        <v>0.5</v>
      </c>
      <c r="D29" s="65" t="n">
        <v>0.5</v>
      </c>
      <c r="E29" s="65" t="n">
        <v>1.5</v>
      </c>
      <c r="F29" s="65" t="n">
        <v>5.5</v>
      </c>
      <c r="G29" s="65" t="n">
        <v>2.5</v>
      </c>
      <c r="H29" s="65" t="n">
        <v>5</v>
      </c>
      <c r="I29" s="12" t="inlineStr">
        <is>
          <t>Clear ginger/fish broth is light; lime or pepper only if added.  [S01]</t>
        </is>
      </c>
    </row>
    <row r="30" ht="34" customHeight="1">
      <c r="A30" s="26" t="inlineStr">
        <is>
          <t>Yong tau foo (soup)</t>
        </is>
      </c>
      <c r="B30" s="27" t="inlineStr">
        <is>
          <t>Stuffed tofu and vegetables in clear soup</t>
        </is>
      </c>
      <c r="C30" s="66" t="n">
        <v>1</v>
      </c>
      <c r="D30" s="66" t="n">
        <v>1</v>
      </c>
      <c r="E30" s="66" t="n">
        <v>0.5</v>
      </c>
      <c r="F30" s="66" t="n">
        <v>5.5</v>
      </c>
      <c r="G30" s="66" t="n">
        <v>2.5</v>
      </c>
      <c r="H30" s="66" t="n">
        <v>4.5</v>
      </c>
      <c r="I30" s="27" t="inlineStr">
        <is>
          <t>Plain broth, tofu and vegetables stay light; dips may change profile.  [WB]</t>
        </is>
      </c>
    </row>
    <row r="31" ht="34" customHeight="1">
      <c r="A31" s="18" t="inlineStr">
        <is>
          <t>Ban mian</t>
        </is>
      </c>
      <c r="B31" s="12" t="inlineStr">
        <is>
          <t>Handmade noodles in anchovy soup with egg and minced pork</t>
        </is>
      </c>
      <c r="C31" s="65" t="n">
        <v>0.5</v>
      </c>
      <c r="D31" s="65" t="n">
        <v>1</v>
      </c>
      <c r="E31" s="65" t="n">
        <v>0.5</v>
      </c>
      <c r="F31" s="65" t="n">
        <v>6.5</v>
      </c>
      <c r="G31" s="65" t="n">
        <v>4</v>
      </c>
      <c r="H31" s="65" t="n">
        <v>6.5</v>
      </c>
      <c r="I31" s="12" t="inlineStr">
        <is>
          <t>Anchovy-based broth, fried shallot/egg aroma; chilli usually optional.  [WB]</t>
        </is>
      </c>
    </row>
    <row r="32" ht="34" customHeight="1">
      <c r="A32" s="26" t="inlineStr">
        <is>
          <t>Kaya toast with soft-boiled eggs</t>
        </is>
      </c>
      <c r="B32" s="27" t="inlineStr">
        <is>
          <t>Toast with coconut-egg jam and butter, eggs with soy and pepper</t>
        </is>
      </c>
      <c r="C32" s="66" t="n">
        <v>6.5</v>
      </c>
      <c r="D32" s="66" t="n">
        <v>1.5</v>
      </c>
      <c r="E32" s="66" t="n">
        <v>0</v>
      </c>
      <c r="F32" s="66" t="n">
        <v>4.5</v>
      </c>
      <c r="G32" s="66" t="n">
        <v>8</v>
      </c>
      <c r="H32" s="66" t="n">
        <v>7</v>
      </c>
      <c r="I32" s="27" t="inlineStr">
        <is>
          <t>Sweet coconut kaya and butter contrasted with salty, peppered eggs.  [S10]</t>
        </is>
      </c>
    </row>
    <row r="33" ht="34" customHeight="1">
      <c r="A33" s="18" t="inlineStr">
        <is>
          <t>Kopi</t>
        </is>
      </c>
      <c r="B33" s="12" t="inlineStr">
        <is>
          <t>Local coffee with condensed milk</t>
        </is>
      </c>
      <c r="C33" s="65" t="n">
        <v>7</v>
      </c>
      <c r="D33" s="65" t="n">
        <v>0</v>
      </c>
      <c r="E33" s="65" t="n">
        <v>0.5</v>
      </c>
      <c r="F33" s="65" t="n">
        <v>0.5</v>
      </c>
      <c r="G33" s="65" t="n">
        <v>5</v>
      </c>
      <c r="H33" s="65" t="n">
        <v>8.5</v>
      </c>
      <c r="I33" s="12" t="inlineStr">
        <is>
          <t>Condensed milk sweetens strong roasted coffee; no chili heat.  [S10]</t>
        </is>
      </c>
    </row>
    <row r="34" ht="34" customHeight="1">
      <c r="A34" s="26" t="inlineStr">
        <is>
          <t>Teh tarik</t>
        </is>
      </c>
      <c r="B34" s="27" t="inlineStr">
        <is>
          <t>Pulled milk tea</t>
        </is>
      </c>
      <c r="C34" s="66" t="n">
        <v>7</v>
      </c>
      <c r="D34" s="66" t="n">
        <v>0</v>
      </c>
      <c r="E34" s="66" t="n">
        <v>0</v>
      </c>
      <c r="F34" s="66" t="n">
        <v>0.5</v>
      </c>
      <c r="G34" s="66" t="n">
        <v>5</v>
      </c>
      <c r="H34" s="66" t="n">
        <v>7</v>
      </c>
      <c r="I34" s="27" t="inlineStr">
        <is>
          <t>Sweet condensed milk and concentrated pulled tea; little bitterness remains.  [S21]</t>
        </is>
      </c>
    </row>
    <row r="35" ht="34" customHeight="1">
      <c r="A35" s="18" t="inlineStr">
        <is>
          <t>Ice kacang</t>
        </is>
      </c>
      <c r="B35" s="12" t="inlineStr">
        <is>
          <t>Shaved ice with syrups, red beans, corn and evaporated milk</t>
        </is>
      </c>
      <c r="C35" s="65" t="n">
        <v>9</v>
      </c>
      <c r="D35" s="65" t="n">
        <v>0</v>
      </c>
      <c r="E35" s="65" t="n">
        <v>1</v>
      </c>
      <c r="F35" s="65" t="n">
        <v>0.5</v>
      </c>
      <c r="G35" s="65" t="n">
        <v>4.5</v>
      </c>
      <c r="H35" s="65" t="n">
        <v>5</v>
      </c>
      <c r="I35" s="12" t="inlineStr">
        <is>
          <t>Syrups and sweet beans lead; evaporated milk brings modest creaminess.  [S14]</t>
        </is>
      </c>
    </row>
    <row r="36" ht="34" customHeight="1">
      <c r="A36" s="26" t="inlineStr">
        <is>
          <t>Orh nee</t>
        </is>
      </c>
      <c r="B36" s="27" t="inlineStr">
        <is>
          <t>Yam paste dessert with gingko nuts</t>
        </is>
      </c>
      <c r="C36" s="66" t="n">
        <v>8</v>
      </c>
      <c r="D36" s="66" t="n">
        <v>0</v>
      </c>
      <c r="E36" s="66" t="n">
        <v>0</v>
      </c>
      <c r="F36" s="66" t="n">
        <v>0.5</v>
      </c>
      <c r="G36" s="66" t="n">
        <v>8.5</v>
      </c>
      <c r="H36" s="66" t="n">
        <v>6.5</v>
      </c>
      <c r="I36" s="27" t="inlineStr">
        <is>
          <t>Sweet yam paste has a silky, often oil/coconut-enriched finish.  [S23]</t>
        </is>
      </c>
    </row>
    <row r="37" ht="34" customHeight="1">
      <c r="A37" s="18" t="inlineStr">
        <is>
          <t>Tau huay</t>
        </is>
      </c>
      <c r="B37" s="12" t="inlineStr">
        <is>
          <t>Soft soybean curd in sugar syrup</t>
        </is>
      </c>
      <c r="C37" s="65" t="n">
        <v>6</v>
      </c>
      <c r="D37" s="65" t="n">
        <v>0</v>
      </c>
      <c r="E37" s="65" t="n">
        <v>0</v>
      </c>
      <c r="F37" s="65" t="n">
        <v>0</v>
      </c>
      <c r="G37" s="65" t="n">
        <v>1.5</v>
      </c>
      <c r="H37" s="65" t="n">
        <v>3.5</v>
      </c>
      <c r="I37" s="12" t="inlineStr">
        <is>
          <t>Light sugar syrup sweetens delicate soybean curd; low fat and spice.  [S03]</t>
        </is>
      </c>
    </row>
    <row r="38" ht="34" customHeight="1">
      <c r="A38" s="26" t="inlineStr">
        <is>
          <t>Goreng pisang</t>
        </is>
      </c>
      <c r="B38" s="27" t="inlineStr">
        <is>
          <t>Fried banana fritters</t>
        </is>
      </c>
      <c r="C38" s="66" t="n">
        <v>7</v>
      </c>
      <c r="D38" s="66" t="n">
        <v>0</v>
      </c>
      <c r="E38" s="66" t="n">
        <v>0.5</v>
      </c>
      <c r="F38" s="66" t="n">
        <v>1</v>
      </c>
      <c r="G38" s="66" t="n">
        <v>7</v>
      </c>
      <c r="H38" s="66" t="n">
        <v>6</v>
      </c>
      <c r="I38" s="27" t="inlineStr">
        <is>
          <t>Naturally sweet banana and fried batter; oil adds richness.  [S24]</t>
        </is>
      </c>
    </row>
    <row r="39" ht="34" customHeight="1">
      <c r="A39" s="18" t="inlineStr">
        <is>
          <t>Oyster omelette</t>
        </is>
      </c>
      <c r="B39" s="12" t="inlineStr">
        <is>
          <t>Egg and starch fried with oysters, with chilli sauce</t>
        </is>
      </c>
      <c r="C39" s="65" t="n">
        <v>0.5</v>
      </c>
      <c r="D39" s="65" t="n">
        <v>3.5</v>
      </c>
      <c r="E39" s="65" t="n">
        <v>3</v>
      </c>
      <c r="F39" s="65" t="n">
        <v>7</v>
      </c>
      <c r="G39" s="65" t="n">
        <v>8.5</v>
      </c>
      <c r="H39" s="65" t="n">
        <v>7.5</v>
      </c>
      <c r="I39" s="12" t="inlineStr">
        <is>
          <t>Fried egg-starch mixture is oily and savoury; chilli dip adds heat/tang.  [S25]</t>
        </is>
      </c>
    </row>
    <row r="40" ht="34" customHeight="1">
      <c r="A40" s="26" t="inlineStr">
        <is>
          <t>Sambal stingray</t>
        </is>
      </c>
      <c r="B40" s="27" t="inlineStr">
        <is>
          <t>Grilled stingray topped with sambal and lime</t>
        </is>
      </c>
      <c r="C40" s="66" t="n">
        <v>1.5</v>
      </c>
      <c r="D40" s="66" t="n">
        <v>8</v>
      </c>
      <c r="E40" s="66" t="n">
        <v>5.5</v>
      </c>
      <c r="F40" s="66" t="n">
        <v>7</v>
      </c>
      <c r="G40" s="66" t="n">
        <v>5.5</v>
      </c>
      <c r="H40" s="66" t="n">
        <v>9</v>
      </c>
      <c r="I40" s="27" t="inlineStr">
        <is>
          <t>Spicy sambal and fragrant grill smoke; lime brightens the finished fish.  [S05]</t>
        </is>
      </c>
    </row>
    <row r="41" ht="34" customHeight="1">
      <c r="A41" s="18" t="inlineStr">
        <is>
          <t>Mala xiang guo</t>
        </is>
      </c>
      <c r="B41" s="12" t="inlineStr">
        <is>
          <t>Stir-fried mix in numbing, spicy mala sauce</t>
        </is>
      </c>
      <c r="C41" s="65" t="n">
        <v>1</v>
      </c>
      <c r="D41" s="65" t="n">
        <v>9</v>
      </c>
      <c r="E41" s="65" t="n">
        <v>1</v>
      </c>
      <c r="F41" s="65" t="n">
        <v>8.5</v>
      </c>
      <c r="G41" s="65" t="n">
        <v>8.5</v>
      </c>
      <c r="H41" s="65" t="n">
        <v>9</v>
      </c>
      <c r="I41" s="12" t="inlineStr">
        <is>
          <t>Chilli oil and Sichuan peppercorn create fiery, numbing spice.  [S26]</t>
        </is>
      </c>
    </row>
    <row r="42" ht="34" customHeight="1">
      <c r="A42" s="26" t="inlineStr">
        <is>
          <t>Ayam penyet</t>
        </is>
      </c>
      <c r="B42" s="27" t="inlineStr">
        <is>
          <t>Smashed fried chicken with very spicy sambal</t>
        </is>
      </c>
      <c r="C42" s="66" t="n">
        <v>1.5</v>
      </c>
      <c r="D42" s="66" t="n">
        <v>9</v>
      </c>
      <c r="E42" s="66" t="n">
        <v>3</v>
      </c>
      <c r="F42" s="66" t="n">
        <v>7</v>
      </c>
      <c r="G42" s="66" t="n">
        <v>8.5</v>
      </c>
      <c r="H42" s="66" t="n">
        <v>8</v>
      </c>
      <c r="I42" s="27" t="inlineStr">
        <is>
          <t>Deep-fried marinated chicken with fiery sambal; heat depends on serving.  [S16]</t>
        </is>
      </c>
    </row>
    <row r="43" ht="34" customHeight="1">
      <c r="A43" s="18" t="inlineStr">
        <is>
          <t>Beef rendang</t>
        </is>
      </c>
      <c r="B43" s="12" t="inlineStr">
        <is>
          <t>Dry, slow-cooked beef in coconut and spice paste</t>
        </is>
      </c>
      <c r="C43" s="65" t="n">
        <v>3</v>
      </c>
      <c r="D43" s="65" t="n">
        <v>6</v>
      </c>
      <c r="E43" s="65" t="n">
        <v>2</v>
      </c>
      <c r="F43" s="65" t="n">
        <v>7</v>
      </c>
      <c r="G43" s="65" t="n">
        <v>9</v>
      </c>
      <c r="H43" s="65" t="n">
        <v>9.5</v>
      </c>
      <c r="I43" s="12" t="inlineStr">
        <is>
          <t>Slow-reduced coconut-spice coating delivers intense richness and aroma.  [S27]</t>
        </is>
      </c>
    </row>
    <row r="44" ht="34" customHeight="1">
      <c r="A44" s="26" t="inlineStr">
        <is>
          <t>Fish head curry</t>
        </is>
      </c>
      <c r="B44" s="27" t="inlineStr">
        <is>
          <t>Fish head in spicy, tangy curry with vegetables</t>
        </is>
      </c>
      <c r="C44" s="66" t="n">
        <v>2</v>
      </c>
      <c r="D44" s="66" t="n">
        <v>7</v>
      </c>
      <c r="E44" s="66" t="n">
        <v>6</v>
      </c>
      <c r="F44" s="66" t="n">
        <v>7</v>
      </c>
      <c r="G44" s="66" t="n">
        <v>7.5</v>
      </c>
      <c r="H44" s="66" t="n">
        <v>9</v>
      </c>
      <c r="I44" s="27" t="inlineStr">
        <is>
          <t>Aromatic curry, tamarind/tomato tang and chilli; richness varies by style.  [S17]</t>
        </is>
      </c>
    </row>
    <row r="45" ht="34" customHeight="1">
      <c r="A45" s="18" t="inlineStr">
        <is>
          <t>Biryani (chicken)</t>
        </is>
      </c>
      <c r="B45" s="12" t="inlineStr">
        <is>
          <t>Spiced basmati rice with chicken</t>
        </is>
      </c>
      <c r="C45" s="65" t="n">
        <v>2</v>
      </c>
      <c r="D45" s="65" t="n">
        <v>4.5</v>
      </c>
      <c r="E45" s="65" t="n">
        <v>2</v>
      </c>
      <c r="F45" s="65" t="n">
        <v>7</v>
      </c>
      <c r="G45" s="65" t="n">
        <v>6.5</v>
      </c>
      <c r="H45" s="65" t="n">
        <v>9.5</v>
      </c>
      <c r="I45" s="12" t="inlineStr">
        <is>
          <t>Whole spices perfume basmati; accompanying chicken curry sets heat level.  [S27]</t>
        </is>
      </c>
    </row>
    <row r="46" ht="34" customHeight="1">
      <c r="A46" s="26" t="inlineStr">
        <is>
          <t>Popiah</t>
        </is>
      </c>
      <c r="B46" s="27" t="inlineStr">
        <is>
          <t>Fresh spring roll with braised turnip, sweet sauce and chilli</t>
        </is>
      </c>
      <c r="C46" s="66" t="n">
        <v>5.5</v>
      </c>
      <c r="D46" s="66" t="n">
        <v>2.5</v>
      </c>
      <c r="E46" s="66" t="n">
        <v>0.5</v>
      </c>
      <c r="F46" s="66" t="n">
        <v>4.5</v>
      </c>
      <c r="G46" s="66" t="n">
        <v>3.5</v>
      </c>
      <c r="H46" s="66" t="n">
        <v>5.5</v>
      </c>
      <c r="I46" s="27" t="inlineStr">
        <is>
          <t>Sweet sauce and braised turnip; chilli is spread sparingly or optional.  [S01]</t>
        </is>
      </c>
    </row>
    <row r="47" ht="34" customHeight="1">
      <c r="A47" s="18" t="inlineStr">
        <is>
          <t>Chwee kueh</t>
        </is>
      </c>
      <c r="B47" s="12" t="inlineStr">
        <is>
          <t>Steamed rice cakes topped with preserved radish</t>
        </is>
      </c>
      <c r="C47" s="65" t="n">
        <v>1.5</v>
      </c>
      <c r="D47" s="65" t="n">
        <v>1.5</v>
      </c>
      <c r="E47" s="65" t="n">
        <v>0.5</v>
      </c>
      <c r="F47" s="65" t="n">
        <v>7</v>
      </c>
      <c r="G47" s="65" t="n">
        <v>6</v>
      </c>
      <c r="H47" s="65" t="n">
        <v>6.5</v>
      </c>
      <c r="I47" s="12" t="inlineStr">
        <is>
          <t>Salty preserved radish and seasoned oil; chilli is a side condiment.  [S01]</t>
        </is>
      </c>
    </row>
    <row r="48" ht="34" customHeight="1">
      <c r="A48" s="26" t="inlineStr">
        <is>
          <t>Economic bee hoon</t>
        </is>
      </c>
      <c r="B48" s="27" t="inlineStr">
        <is>
          <t>Plain fried rice vermicelli</t>
        </is>
      </c>
      <c r="C48" s="66" t="n">
        <v>1</v>
      </c>
      <c r="D48" s="66" t="n">
        <v>0.5</v>
      </c>
      <c r="E48" s="66" t="n">
        <v>0.5</v>
      </c>
      <c r="F48" s="66" t="n">
        <v>5.5</v>
      </c>
      <c r="G48" s="66" t="n">
        <v>4.5</v>
      </c>
      <c r="H48" s="66" t="n">
        <v>5.5</v>
      </c>
      <c r="I48" s="27" t="inlineStr">
        <is>
          <t>Plain fried bee hoon is lightly seasoned; side dishes not included.  [WB]</t>
        </is>
      </c>
    </row>
    <row r="49" ht="34" customHeight="1">
      <c r="A49" s="18" t="inlineStr">
        <is>
          <t>Claypot rice</t>
        </is>
      </c>
      <c r="B49" s="12" t="inlineStr">
        <is>
          <t>Rice cooked in claypot with chicken, sausage and dark soy</t>
        </is>
      </c>
      <c r="C49" s="65" t="n">
        <v>3.5</v>
      </c>
      <c r="D49" s="65" t="n">
        <v>1</v>
      </c>
      <c r="E49" s="65" t="n">
        <v>0</v>
      </c>
      <c r="F49" s="65" t="n">
        <v>8</v>
      </c>
      <c r="G49" s="65" t="n">
        <v>7.5</v>
      </c>
      <c r="H49" s="65" t="n">
        <v>8.5</v>
      </c>
      <c r="I49" s="12" t="inlineStr">
        <is>
          <t>Soy sauce, cured sausage and crisp scorched rice give rich toasty aroma.  [S19]</t>
        </is>
      </c>
    </row>
    <row r="50" ht="34" customHeight="1">
      <c r="A50" s="26" t="inlineStr">
        <is>
          <t>Prawn paste chicken (har cheong gai)</t>
        </is>
      </c>
      <c r="B50" s="27" t="inlineStr">
        <is>
          <t>Fried chicken marinated in fermented shrimp paste</t>
        </is>
      </c>
      <c r="C50" s="66" t="n">
        <v>1</v>
      </c>
      <c r="D50" s="66" t="n">
        <v>0.5</v>
      </c>
      <c r="E50" s="66" t="n">
        <v>0</v>
      </c>
      <c r="F50" s="66" t="n">
        <v>8.5</v>
      </c>
      <c r="G50" s="66" t="n">
        <v>8</v>
      </c>
      <c r="H50" s="66" t="n">
        <v>7.5</v>
      </c>
      <c r="I50" s="27" t="inlineStr">
        <is>
          <t>Fermented prawn paste provides intense umami/salt; fried skin adds fat.  [S20]</t>
        </is>
      </c>
    </row>
    <row r="51" ht="34" customHeight="1">
      <c r="A51" s="18" t="inlineStr">
        <is>
          <t>Tom yum soup</t>
        </is>
      </c>
      <c r="B51" s="12" t="inlineStr">
        <is>
          <t>Hot and sour Thai soup with prawns</t>
        </is>
      </c>
      <c r="C51" s="65" t="n">
        <v>2.5</v>
      </c>
      <c r="D51" s="65" t="n">
        <v>8</v>
      </c>
      <c r="E51" s="65" t="n">
        <v>9</v>
      </c>
      <c r="F51" s="65" t="n">
        <v>7</v>
      </c>
      <c r="G51" s="65" t="n">
        <v>2.5</v>
      </c>
      <c r="H51" s="65" t="n">
        <v>9</v>
      </c>
      <c r="I51" s="12" t="inlineStr">
        <is>
          <t>Clear-style prawn tom yum: lime, chilli, lemongrass and galangal lead.  [S28]</t>
        </is>
      </c>
    </row>
  </sheetData>
  <conditionalFormatting sqref="C2:H51">
    <cfRule type="colorScale" priority="1">
      <colorScale>
        <cfvo type="min"/>
        <cfvo type="percentile" val="50"/>
        <cfvo type="max"/>
        <color rgb="FFF6F8FB"/>
        <color rgb="FFDDECF8"/>
        <color rgb="FF89BEDA"/>
      </colorScale>
    </cfRule>
  </conditionalFormatting>
  <dataValidations count="2">
    <dataValidation sqref="C10:H51" showDropDown="0" showInputMessage="0" showErrorMessage="1" allowBlank="1" error="Use a number from 0 to 10" type="decimal">
      <formula1>0</formula1>
      <formula2>10</formula2>
    </dataValidation>
    <dataValidation sqref="C2:H51" showDropDown="0" showInputMessage="0" showErrorMessage="1" allowBlank="1" error="Use a number from 0 to 10" type="decimal">
      <formula1>0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 ht="43" customHeight="1">
      <c r="A1" s="64" t="inlineStr">
        <is>
          <t>Score how each dish usually tastes in Singapore, 0 (none) to 10 (extreme). Halves are fine.</t>
        </is>
      </c>
    </row>
    <row r="2" ht="42" customHeight="1">
      <c r="A2" s="54" t="inlineStr">
        <is>
          <t>Rich = fat, coconut milk, oil, creaminess. Aromatic = herbs, spices, wok hei, fragrance.</t>
        </is>
      </c>
    </row>
    <row r="3" ht="42" customHeight="1">
      <c r="A3" s="54" t="inlineStr">
        <is>
          <t>Leave a row blank if you don't know the dish; the check skips it.</t>
        </is>
      </c>
    </row>
    <row r="4" ht="42" customHeight="1">
      <c r="A4" s="54" t="inlineStr">
        <is>
          <t>Chicken rice, laksa, chendol and assam fish are the examples inside the AI prompt, so they are reported separately.</t>
        </is>
      </c>
    </row>
    <row r="5" ht="42" customHeight="1">
      <c r="A5" s="54" t="inlineStr">
        <is>
          <t>Save the filled file as data/taste-answer-key.xlsx, then run: ANTHROPIC_API_KEY=... npx tsx scripts/taste-answer-key-eval.mjs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7" topLeftCell="A18" activePane="bottomLeft" state="frozen"/>
      <selection activeCell="A1" sqref="A1"/>
    </sheetView>
  </sheetViews>
  <sheetFormatPr baseColWidth="8" defaultRowHeight="15"/>
  <cols>
    <col width="15" customWidth="1" min="1" max="1"/>
    <col width="23" customWidth="1" min="2" max="2"/>
    <col width="62" customWidth="1" min="3" max="3"/>
    <col width="68" customWidth="1" min="4" max="4"/>
  </cols>
  <sheetData>
    <row r="1" ht="40" customHeight="1">
      <c r="A1" s="37" t="inlineStr">
        <is>
          <t>SINGAPORE TASTE PROFILE | REVIEW AND SOURCES</t>
        </is>
      </c>
      <c r="B1" s="2" t="n"/>
      <c r="C1" s="2" t="n"/>
      <c r="D1" s="2" t="n"/>
    </row>
    <row r="2" ht="30" customHeight="1">
      <c r="A2" s="43" t="inlineStr">
        <is>
          <t>Reviewed 18 October 2026  |  50 Singapore-context dishes  |  Six independent dimensions</t>
        </is>
      </c>
      <c r="B2" s="2" t="n"/>
      <c r="C2" s="2" t="n"/>
      <c r="D2" s="2" t="n"/>
    </row>
    <row r="4" ht="28" customHeight="1">
      <c r="A4" s="44" t="inlineStr">
        <is>
          <t>Dish count</t>
        </is>
      </c>
      <c r="B4" s="46">
        <f>COUNTA('Answer key'!A2:A51)</f>
        <v/>
      </c>
      <c r="C4" s="44" t="inlineStr">
        <is>
          <t>Ratings entered</t>
        </is>
      </c>
      <c r="D4" s="46">
        <f>COUNT('Answer key'!C2:H51)</f>
        <v/>
      </c>
    </row>
    <row r="5" ht="28" customHeight="1">
      <c r="A5" s="44" t="inlineStr">
        <is>
          <t>Ratings expected</t>
        </is>
      </c>
      <c r="B5" s="46">
        <f>B4*6</f>
        <v/>
      </c>
      <c r="C5" s="44" t="inlineStr">
        <is>
          <t>Completion check</t>
        </is>
      </c>
      <c r="D5" s="46">
        <f>IF(D4=B5,"COMPLETE","INCOMPLETE")</f>
        <v/>
      </c>
    </row>
    <row r="7" ht="29" customHeight="1">
      <c r="A7" s="53" t="inlineStr">
        <is>
          <t>HOW THE SIX SCORES WERE ESTIMATED</t>
        </is>
      </c>
      <c r="B7" s="2" t="n"/>
      <c r="C7" s="2" t="n"/>
      <c r="D7" s="2" t="n"/>
    </row>
    <row r="8" ht="29" customHeight="1">
      <c r="A8" s="55" t="inlineStr">
        <is>
          <t>0 = absent; 1–2 = faint; 3–4 = mild; 5–6 = moderate; 7–8 = strong; 9–10 = very strong/dominant.</t>
        </is>
      </c>
      <c r="B8" s="2" t="n"/>
      <c r="C8" s="2" t="n"/>
      <c r="D8" s="2" t="n"/>
    </row>
    <row r="9" ht="29" customHeight="1">
      <c r="A9" s="55" t="inlineStr">
        <is>
          <t>Values use increments of 0.5. Scores are reasoned taste estimates, not objectively measured chemical or panel data.</t>
        </is>
      </c>
      <c r="B9" s="2" t="n"/>
      <c r="C9" s="2" t="n"/>
      <c r="D9" s="2" t="n"/>
    </row>
    <row r="10" ht="29" customHeight="1">
      <c r="A10" s="55" t="inlineStr">
        <is>
          <t>Sweet / Spicy / Sour / Salty rate perceived taste intensity; Spicy includes chilli, white pepper and black pepper warmth.</t>
        </is>
      </c>
      <c r="B10" s="2" t="n"/>
      <c r="C10" s="2" t="n"/>
      <c r="D10" s="2" t="n"/>
    </row>
    <row r="11" ht="29" customHeight="1">
      <c r="A11" s="55" t="inlineStr">
        <is>
          <t>Rich follows the workbook rubric: fat, coconut milk, oil, creaminess. Aromatic: herbs, spices, wok hei and fragrance.</t>
        </is>
      </c>
      <c r="B11" s="2" t="n"/>
      <c r="C11" s="2" t="n"/>
      <c r="D11" s="2" t="n"/>
    </row>
    <row r="12" ht="29" customHeight="1">
      <c r="A12" s="55" t="inlineStr">
        <is>
          <t>Baseline is a typical Singapore hawker-style serving, with the stated accompaniments; optional chilli/dips generally get moderate weight.</t>
        </is>
      </c>
      <c r="B12" s="2" t="n"/>
      <c r="C12" s="2" t="n"/>
      <c r="D12" s="2" t="n"/>
    </row>
    <row r="13" ht="29" customHeight="1">
      <c r="A13" s="55" t="inlineStr">
        <is>
          <t>Where recipes vary (sambal, curry, soy, toppings), the rating is a representative baseline; a given stall may differ markedly.</t>
        </is>
      </c>
      <c r="B13" s="2" t="n"/>
      <c r="C13" s="2" t="n"/>
      <c r="D13" s="2" t="n"/>
    </row>
    <row r="14" ht="29" customHeight="1">
      <c r="A14" s="55" t="inlineStr">
        <is>
          <t>Sources substantiate dish components/flavour descriptions, not the exact numeric scores. [WB] means original workbook only.</t>
        </is>
      </c>
      <c r="B14" s="2" t="n"/>
      <c r="C14" s="2" t="n"/>
      <c r="D14" s="2" t="n"/>
    </row>
    <row r="15" ht="29" customHeight="1">
      <c r="A15" s="55" t="inlineStr">
        <is>
          <t>Four example dishes (chicken rice, laksa, chendol and assam fish) remain in the original evaluation positions.</t>
        </is>
      </c>
      <c r="B15" s="2" t="n"/>
      <c r="C15" s="2" t="n"/>
      <c r="D15" s="2" t="n"/>
    </row>
    <row r="17" ht="30" customHeight="1">
      <c r="A17" s="57" t="inlineStr">
        <is>
          <t>ID</t>
        </is>
      </c>
      <c r="B17" s="57" t="inlineStr">
        <is>
          <t>Publisher</t>
        </is>
      </c>
      <c r="C17" s="57" t="inlineStr">
        <is>
          <t>Primary relevance</t>
        </is>
      </c>
      <c r="D17" s="57" t="inlineStr">
        <is>
          <t>URL (plain text)</t>
        </is>
      </c>
    </row>
    <row r="18" ht="46" customHeight="1">
      <c r="A18" s="60" t="inlineStr">
        <is>
          <t>S01</t>
        </is>
      </c>
      <c r="B18" s="60" t="inlineStr">
        <is>
          <t>MICHELIN Guide</t>
        </is>
      </c>
      <c r="C18" s="60" t="inlineStr">
        <is>
          <t>Must-try hawker dishes: chicken rice, laksa, Hokkien mee, prawn mee, wanton mee, bak chor mee, satay, carrot cake, popiah, fish soup, chwee kueh</t>
        </is>
      </c>
      <c r="D18" s="60" t="inlineStr">
        <is>
          <t>https://guide.michelin.com/sg/en/article/travel/must-try-hawker-food-in-singapore</t>
        </is>
      </c>
    </row>
    <row r="19" ht="46" customHeight="1">
      <c r="A19" s="54" t="inlineStr">
        <is>
          <t>S02</t>
        </is>
      </c>
      <c r="B19" s="54" t="inlineStr">
        <is>
          <t>MICHELIN Guide</t>
        </is>
      </c>
      <c r="C19" s="54" t="inlineStr">
        <is>
          <t>Noodle preparation: char kway teow and dry fishball noodles</t>
        </is>
      </c>
      <c r="D19" s="54" t="inlineStr">
        <is>
          <t>https://guide.michelin.com/en/best-of/best-noodles-in-singapore</t>
        </is>
      </c>
    </row>
    <row r="20" ht="46" customHeight="1">
      <c r="A20" s="60" t="inlineStr">
        <is>
          <t>S03</t>
        </is>
      </c>
      <c r="B20" s="60" t="inlineStr">
        <is>
          <t>MICHELIN Guide</t>
        </is>
      </c>
      <c r="C20" s="60" t="inlineStr">
        <is>
          <t>Local desserts: chendol and tau huay</t>
        </is>
      </c>
      <c r="D20" s="60" t="inlineStr">
        <is>
          <t>https://guide.michelin.com/sg/en/article/travel/singapore-must-try-local-desserts</t>
        </is>
      </c>
    </row>
    <row r="21" ht="46" customHeight="1">
      <c r="A21" s="54" t="inlineStr">
        <is>
          <t>S04</t>
        </is>
      </c>
      <c r="B21" s="54" t="inlineStr">
        <is>
          <t>Singapore Food Shows</t>
        </is>
      </c>
      <c r="C21" s="54" t="inlineStr">
        <is>
          <t>Assam pedas fish: tamarind, chilli, spice paste and herbs</t>
        </is>
      </c>
      <c r="D21" s="54" t="inlineStr">
        <is>
          <t>https://singaporefoodshows.com.sg/assam-pedas</t>
        </is>
      </c>
    </row>
    <row r="22" ht="46" customHeight="1">
      <c r="A22" s="60" t="inlineStr">
        <is>
          <t>S05</t>
        </is>
      </c>
      <c r="B22" s="60" t="inlineStr">
        <is>
          <t>MICHELIN Guide</t>
        </is>
      </c>
      <c r="C22" s="60" t="inlineStr">
        <is>
          <t>Chilli crab, black pepper crab, sambal stingray and fish head curry</t>
        </is>
      </c>
      <c r="D22" s="60" t="inlineStr">
        <is>
          <t>https://guide.michelin.com/sg/en/best-of/where-to-get-the-best-spicy-food-in-singapore</t>
        </is>
      </c>
    </row>
    <row r="23" ht="46" customHeight="1">
      <c r="A23" s="54" t="inlineStr">
        <is>
          <t>S06</t>
        </is>
      </c>
      <c r="B23" s="54" t="inlineStr">
        <is>
          <t>National Heritage Board (Roots)</t>
        </is>
      </c>
      <c r="C23" s="54" t="inlineStr">
        <is>
          <t>Teochew bak kut teh: clear peppery garlic broth</t>
        </is>
      </c>
      <c r="D23" s="54" t="inlineStr">
        <is>
          <t>https://www.roots.gov.sg/places/places-landing/Places/landmarks/balestier-food-trail/kai-juan-bak-kut-teh</t>
        </is>
      </c>
    </row>
    <row r="24" ht="46" customHeight="1">
      <c r="A24" s="60" t="inlineStr">
        <is>
          <t>S07</t>
        </is>
      </c>
      <c r="B24" s="60" t="inlineStr">
        <is>
          <t>MICHELIN Guide</t>
        </is>
      </c>
      <c r="C24" s="60" t="inlineStr">
        <is>
          <t>Mee siam: tangy, lightly sweet, gently spicy gravy</t>
        </is>
      </c>
      <c r="D24" s="60" t="inlineStr">
        <is>
          <t>https://guide.michelin.com/jp/en/article/dining-out/inspectors-favourite-dishes-singapore-2026</t>
        </is>
      </c>
    </row>
    <row r="25" ht="46" customHeight="1">
      <c r="A25" s="54" t="inlineStr">
        <is>
          <t>S08</t>
        </is>
      </c>
      <c r="B25" s="54" t="inlineStr">
        <is>
          <t>MICHELIN Guide</t>
        </is>
      </c>
      <c r="C25" s="54" t="inlineStr">
        <is>
          <t>Lor mee: thick gravy, vinegar and chilli</t>
        </is>
      </c>
      <c r="D25" s="54" t="inlineStr">
        <is>
          <t>https://guide.michelin.com/en/article/dining-out/breakfast-club-5-lor-mee-hawker-stalls-where-you-mustn%27t-pass-on-the-gravy</t>
        </is>
      </c>
    </row>
    <row r="26" ht="46" customHeight="1">
      <c r="A26" s="60" t="inlineStr">
        <is>
          <t>S09</t>
        </is>
      </c>
      <c r="B26" s="60" t="inlineStr">
        <is>
          <t>MICHELIN Guide</t>
        </is>
      </c>
      <c r="C26" s="60" t="inlineStr">
        <is>
          <t>Rojak: sweet, tangy, spicy sauce with fruit and vegetables</t>
        </is>
      </c>
      <c r="D26" s="60" t="inlineStr">
        <is>
          <t>https://guide.michelin.com/sg/en/singapore-region/singapore/restaurant/rojak%E2%80%A7popiah-cockle</t>
        </is>
      </c>
    </row>
    <row r="27" ht="46" customHeight="1">
      <c r="A27" s="54" t="inlineStr">
        <is>
          <t>S10</t>
        </is>
      </c>
      <c r="B27" s="54" t="inlineStr">
        <is>
          <t>MICHELIN Guide</t>
        </is>
      </c>
      <c r="C27" s="54" t="inlineStr">
        <is>
          <t>Kaya toast and kopi: coconut-egg jam, butter, eggs, coffee</t>
        </is>
      </c>
      <c r="D27" s="54" t="inlineStr">
        <is>
          <t>https://guide.michelin.com/sg/en/article/dining-in/labyrinth-traditional-kaya-recipe</t>
        </is>
      </c>
    </row>
    <row r="28" ht="46" customHeight="1">
      <c r="A28" s="60" t="inlineStr">
        <is>
          <t>S11</t>
        </is>
      </c>
      <c r="B28" s="60" t="inlineStr">
        <is>
          <t>MICHELIN Guide</t>
        </is>
      </c>
      <c r="C28" s="60" t="inlineStr">
        <is>
          <t>Nasi lemak: pandan/coconut rice, sambal and side dishes</t>
        </is>
      </c>
      <c r="D28" s="60" t="inlineStr">
        <is>
          <t>https://guide.michelin.com/sg/en/article/dining-out/best-new-restaurants-in-singapore-2024</t>
        </is>
      </c>
    </row>
    <row r="29" ht="46" customHeight="1">
      <c r="A29" s="54" t="inlineStr">
        <is>
          <t>S12</t>
        </is>
      </c>
      <c r="B29" s="54" t="inlineStr">
        <is>
          <t>MICHELIN Guide</t>
        </is>
      </c>
      <c r="C29" s="54" t="inlineStr">
        <is>
          <t>Braised duck rice: spiced soy marinade</t>
        </is>
      </c>
      <c r="D29" s="54" t="inlineStr">
        <is>
          <t>https://guide.michelin.com/sg/en/singapore-region/singapore/restaurant/cheng-heng-kway-chap-and-braised-duck-rice</t>
        </is>
      </c>
    </row>
    <row r="30" ht="46" customHeight="1">
      <c r="A30" s="60" t="inlineStr">
        <is>
          <t>S13</t>
        </is>
      </c>
      <c r="B30" s="60" t="inlineStr">
        <is>
          <t>MICHELIN Guide</t>
        </is>
      </c>
      <c r="C30" s="60" t="inlineStr">
        <is>
          <t>Hawker preparations including plain vs black carrot cake and roti prata</t>
        </is>
      </c>
      <c r="D30" s="60" t="inlineStr">
        <is>
          <t>https://guide.michelin.com/sg/en/article/travel/a-singapore-hawker-guide-for-vegetarians</t>
        </is>
      </c>
    </row>
    <row r="31" ht="46" customHeight="1">
      <c r="A31" s="54" t="inlineStr">
        <is>
          <t>S14</t>
        </is>
      </c>
      <c r="B31" s="54" t="inlineStr">
        <is>
          <t>CNA Lifestyle</t>
        </is>
      </c>
      <c r="C31" s="54" t="inlineStr">
        <is>
          <t>Ice kacang: sugar syrups, beans, evaporated milk, shaved ice</t>
        </is>
      </c>
      <c r="D31" s="54" t="inlineStr">
        <is>
          <t>https://cnalifestyle.channelnewsasia.com/dining/best-food-singapore-dessert-teck-kee-adam-road-food-centre-329556</t>
        </is>
      </c>
    </row>
    <row r="32" ht="46" customHeight="1">
      <c r="A32" s="60" t="inlineStr">
        <is>
          <t>S16</t>
        </is>
      </c>
      <c r="B32" s="60" t="inlineStr">
        <is>
          <t>MICHELIN Guide</t>
        </is>
      </c>
      <c r="C32" s="60" t="inlineStr">
        <is>
          <t>Ayam penyet: fried chicken and very hot sambal</t>
        </is>
      </c>
      <c r="D32" s="60" t="inlineStr">
        <is>
          <t>https://guide.michelin.com/sg/en/article/dining-out/top-5-spots-for-ayam-penyet-if-you-re-feeling-peckish</t>
        </is>
      </c>
    </row>
    <row r="33" ht="46" customHeight="1">
      <c r="A33" s="54" t="inlineStr">
        <is>
          <t>S17</t>
        </is>
      </c>
      <c r="B33" s="54" t="inlineStr">
        <is>
          <t>National Heritage Board (Roots)</t>
        </is>
      </c>
      <c r="C33" s="54" t="inlineStr">
        <is>
          <t>Fish head curry: spicy curry and tangy variants</t>
        </is>
      </c>
      <c r="D33" s="54" t="inlineStr">
        <is>
          <t>https://www.roots.gov.sg/ich-landing/ich/fish-head-curry</t>
        </is>
      </c>
    </row>
    <row r="34" ht="46" customHeight="1">
      <c r="A34" s="60" t="inlineStr">
        <is>
          <t>S19</t>
        </is>
      </c>
      <c r="B34" s="60" t="inlineStr">
        <is>
          <t>MICHELIN Guide</t>
        </is>
      </c>
      <c r="C34" s="60" t="inlineStr">
        <is>
          <t>Claypot rice: sweet dark soy, oils, chicken/cured meats</t>
        </is>
      </c>
      <c r="D34" s="60" t="inlineStr">
        <is>
          <t>https://guide.michelin.com/sg/en/article/dining-out/over-hot-coals-5-claypot-rice-that-s-worth-the-wait</t>
        </is>
      </c>
    </row>
    <row r="35" ht="46" customHeight="1">
      <c r="A35" s="54" t="inlineStr">
        <is>
          <t>S20</t>
        </is>
      </c>
      <c r="B35" s="54" t="inlineStr">
        <is>
          <t>MICHELIN Guide</t>
        </is>
      </c>
      <c r="C35" s="54" t="inlineStr">
        <is>
          <t>Prawn paste chicken: fermented savoury marinade, deep-frying</t>
        </is>
      </c>
      <c r="D35" s="54" t="inlineStr">
        <is>
          <t>https://guide.michelin.com/en/article/features/behind-the-bib-kok-sen</t>
        </is>
      </c>
    </row>
    <row r="36" ht="46" customHeight="1">
      <c r="A36" s="60" t="inlineStr">
        <is>
          <t>S21</t>
        </is>
      </c>
      <c r="B36" s="60" t="inlineStr">
        <is>
          <t>MICHELIN Guide</t>
        </is>
      </c>
      <c r="C36" s="60" t="inlineStr">
        <is>
          <t>Pulled tea sweetened with condensed milk; regional preparation</t>
        </is>
      </c>
      <c r="D36" s="60" t="inlineStr">
        <is>
          <t>https://guide.michelin.com/en/article/dining-out/food-walk-3-enjoying-food-from-the-deep-south-in-ramkhamhaeng</t>
        </is>
      </c>
    </row>
    <row r="37" ht="46" customHeight="1">
      <c r="A37" s="54" t="inlineStr">
        <is>
          <t>S23</t>
        </is>
      </c>
      <c r="B37" s="54" t="inlineStr">
        <is>
          <t>MICHELIN Guide</t>
        </is>
      </c>
      <c r="C37" s="54" t="inlineStr">
        <is>
          <t>Teochew orh nee: yam paste dessert</t>
        </is>
      </c>
      <c r="D37" s="54" t="inlineStr">
        <is>
          <t>https://guide.michelin.com/en/article/dining-out/6-restaurants-for-authentic-teochew-fare</t>
        </is>
      </c>
    </row>
    <row r="38" ht="46" customHeight="1">
      <c r="A38" s="60" t="inlineStr">
        <is>
          <t>S24</t>
        </is>
      </c>
      <c r="B38" s="60" t="inlineStr">
        <is>
          <t>National Heritage Board (Roots)</t>
        </is>
      </c>
      <c r="C38" s="60" t="inlineStr">
        <is>
          <t>Goreng pisang as a local fried banana snack</t>
        </is>
      </c>
      <c r="D38" s="60" t="inlineStr">
        <is>
          <t>https://www.roots.gov.sg/-/media/Roots/Files/orchard-heritage-trail/nhb_orchard_trail-booklet_full.pdf</t>
        </is>
      </c>
    </row>
    <row r="39" ht="46" customHeight="1">
      <c r="A39" s="54" t="inlineStr">
        <is>
          <t>S25</t>
        </is>
      </c>
      <c r="B39" s="54" t="inlineStr">
        <is>
          <t>MICHELIN Guide</t>
        </is>
      </c>
      <c r="C39" s="54" t="inlineStr">
        <is>
          <t>Oyster omelette: savoury fried eggs/oysters with chilli and starch (Fujian-style example)</t>
        </is>
      </c>
      <c r="D39" s="54" t="inlineStr">
        <is>
          <t>https://guide.michelin.com/sg/en/article/dining-in/recipe-fujian-crispy-oysters-putien</t>
        </is>
      </c>
    </row>
    <row r="40" ht="46" customHeight="1">
      <c r="A40" s="60" t="inlineStr">
        <is>
          <t>S26</t>
        </is>
      </c>
      <c r="B40" s="60" t="inlineStr">
        <is>
          <t>MICHELIN Guide</t>
        </is>
      </c>
      <c r="C40" s="60" t="inlineStr">
        <is>
          <t>Mala xiang guo: chilli heat and Sichuan peppercorn numbing sensation</t>
        </is>
      </c>
      <c r="D40" s="60" t="inlineStr">
        <is>
          <t>https://guide.michelin.com/sg/en/article/features/10-biggest-food-happenings-in-singapore-in-2018</t>
        </is>
      </c>
    </row>
    <row r="41" ht="46" customHeight="1">
      <c r="A41" s="54" t="inlineStr">
        <is>
          <t>S27</t>
        </is>
      </c>
      <c r="B41" s="54" t="inlineStr">
        <is>
          <t>MICHELIN Guide</t>
        </is>
      </c>
      <c r="C41" s="54" t="inlineStr">
        <is>
          <t>Chicken biryani and beef rendang in Singapore hawker/Malay-Muslim dining</t>
        </is>
      </c>
      <c r="D41" s="54" t="inlineStr">
        <is>
          <t>https://guide.michelin.com/sg/en/article/dining-out/5-michelin-listed-muslim-stalls-to-try-this-ramadan</t>
        </is>
      </c>
    </row>
    <row r="42" ht="46" customHeight="1">
      <c r="A42" s="60" t="inlineStr">
        <is>
          <t>S28</t>
        </is>
      </c>
      <c r="B42" s="60" t="inlineStr">
        <is>
          <t>MICHELIN Guide</t>
        </is>
      </c>
      <c r="C42" s="60" t="inlineStr">
        <is>
          <t>Tom yum: sour lime, chillies, fragrant herbs, fish sauce and slight sugar</t>
        </is>
      </c>
      <c r="D42" s="60" t="inlineStr">
        <is>
          <t>https://guide.michelin.com/en/article/features/thai-soups-explained-tom-kha-tom-yum-tom-klong-and-tom-som</t>
        </is>
      </c>
    </row>
    <row r="43" ht="46" customHeight="1">
      <c r="A43" s="54" t="inlineStr">
        <is>
          <t>WB</t>
        </is>
      </c>
      <c r="B43" s="54" t="inlineStr">
        <is>
          <t>Original workbook</t>
        </is>
      </c>
      <c r="C43" s="54" t="inlineStr">
        <is>
          <t>Ingredient-based interpretation of the original 'What it is' description; not independently substantiated</t>
        </is>
      </c>
      <c r="D43" s="54" t="str"/>
    </row>
  </sheetData>
  <mergeCells count="11">
    <mergeCell ref="A1:D1"/>
    <mergeCell ref="A9:D9"/>
    <mergeCell ref="A8:D8"/>
    <mergeCell ref="A12:D12"/>
    <mergeCell ref="A15:D15"/>
    <mergeCell ref="A7:D7"/>
    <mergeCell ref="A2:D2"/>
    <mergeCell ref="A11:D11"/>
    <mergeCell ref="A10:D10"/>
    <mergeCell ref="A13:D13"/>
    <mergeCell ref="A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2026-10-18T15:47:45Z</dcterms:created>
  <dcterms:modified xmlns:dcterms="http://purl.org/dc/terms/" xmlns:xsi="http://www.w3.org/2001/XMLSchema-instance" xsi:type="dcterms:W3CDTF">2026-10-18T15:47:45Z</dcterms:modified>
</cp:coreProperties>
</file>