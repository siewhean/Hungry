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ab82c9f75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5b764863fa7b4fd8"/>
    <x:sheet xmlns:r="http://schemas.openxmlformats.org/officeDocument/2006/relationships" name="How to score" sheetId="2" r:id="R462e0fa883a84e84"/>
    <x:sheet xmlns:r="http://schemas.openxmlformats.org/officeDocument/2006/relationships" name="Research &amp; method" sheetId="3" r:id="Rab7669f123ca4873"/>
  </x:sheets>
</x:workbook>
</file>

<file path=xl/sharedStrings.xml><?xml version="1.0" encoding="utf-8"?>
<x:sst xmlns:x="http://schemas.openxmlformats.org/spreadsheetml/2006/main">
  <x:si>
    <x:t xml:space="preserve">Dish</x:t>
  </x:si>
  <x:si>
    <x:t xml:space="preserve">What it is</x:t>
  </x:si>
  <x:si>
    <x:t xml:space="preserve">Sweet</x:t>
  </x:si>
  <x:si>
    <x:t xml:space="preserve">Spicy</x:t>
  </x:si>
  <x:si>
    <x:t xml:space="preserve">Sour</x:t>
  </x:si>
  <x:si>
    <x:t xml:space="preserve">Salty</x:t>
  </x:si>
  <x:si>
    <x:t xml:space="preserve">Rich</x:t>
  </x:si>
  <x:si>
    <x:t xml:space="preserve">Aromatic</x:t>
  </x:si>
  <x:si>
    <x:t xml:space="preserve">Notes</x:t>
  </x:si>
  <x:si>
    <x:t xml:space="preserve">Hainanese chicken rice</x:t>
  </x:si>
  <x:si>
    <x:t xml:space="preserve">Poached chicken, rice cooked in chicken fat, chilli and ginger</x:t>
  </x:si>
  <x:si>
    <x:t xml:space="preserve">Laksa</x:t>
  </x:si>
  <x:si>
    <x:t xml:space="preserve">Curry laksa: thick noodles in spicy coconut-milk broth with cockles</x:t>
  </x:si>
  <x:si>
    <x:t xml:space="preserve">Chendol</x:t>
  </x:si>
  <x:si>
    <x:t xml:space="preserve">Shaved ice with green pandan jelly, coconut milk and gula melaka</x:t>
  </x:si>
  <x:si>
    <x:t xml:space="preserve">Assam fish</x:t>
  </x:si>
  <x:si>
    <x:t xml:space="preserve">Fish in sour, spicy tamarind gravy</x:t>
  </x:si>
  <x:si>
    <x:t xml:space="preserve">Char kway teow</x:t>
  </x:si>
  <x:si>
    <x:t xml:space="preserve">Flat rice noodles fried with dark soy, lard, cockles and Chinese sausage</x:t>
  </x:si>
  <x:si>
    <x:t xml:space="preserve">Bak chor mee (dry)</x:t>
  </x:si>
  <x:si>
    <x:t xml:space="preserve">Minced pork noodles tossed in black vinegar, chilli and lard</x:t>
  </x:si>
  <x:si>
    <x:t xml:space="preserve">Fishball noodles (dry)</x:t>
  </x:si>
  <x:si>
    <x:t xml:space="preserve">Mee pok with fishballs, chilli and vinegar</x:t>
  </x:si>
  <x:si>
    <x:t xml:space="preserve">Hokkien mee</x:t>
  </x:si>
  <x:si>
    <x:t xml:space="preserve">Prawn noodles fried in rich prawn stock, with sambal and lime</x:t>
  </x:si>
  <x:si>
    <x:t xml:space="preserve">Nasi lemak</x:t>
  </x:si>
  <x:si>
    <x:t xml:space="preserve">Coconut rice with sambal, ikan bilis, peanuts, egg and fried chicken</x:t>
  </x:si>
  <x:si>
    <x:t xml:space="preserve">Chilli crab</x:t>
  </x:si>
  <x:si>
    <x:t xml:space="preserve">Mud crab in sweet, spicy tomato and egg gravy</x:t>
  </x:si>
  <x:si>
    <x:t xml:space="preserve">Black pepper crab</x:t>
  </x:si>
  <x:si>
    <x:t xml:space="preserve">Crab wok-fried with heavy black pepper and butter</x:t>
  </x:si>
  <x:si>
    <x:t xml:space="preserve">Bak kut teh (Teochew)</x:t>
  </x:si>
  <x:si>
    <x:t xml:space="preserve">Peppery, garlicky pork rib soup</x:t>
  </x:si>
  <x:si>
    <x:t xml:space="preserve">Satay</x:t>
  </x:si>
  <x:si>
    <x:t xml:space="preserve">Grilled marinated chicken skewers with peanut sauce</x:t>
  </x:si>
  <x:si>
    <x:t xml:space="preserve">Rojak</x:t>
  </x:si>
  <x:si>
    <x:t xml:space="preserve">Fruit and vegetables tossed in prawn paste, sugar and peanuts</x:t>
  </x:si>
  <x:si>
    <x:t xml:space="preserve">Carrot cake (black)</x:t>
  </x:si>
  <x:si>
    <x:t xml:space="preserve">Radish cake fried with sweet dark soy and egg</x:t>
  </x:si>
  <x:si>
    <x:t xml:space="preserve">Carrot cake (white)</x:t>
  </x:si>
  <x:si>
    <x:t xml:space="preserve">Radish cake fried with egg and preserved radish</x:t>
  </x:si>
  <x:si>
    <x:t xml:space="preserve">Roti prata with curry</x:t>
  </x:si>
  <x:si>
    <x:t xml:space="preserve">Flaky fried flatbread with fish curry dip</x:t>
  </x:si>
  <x:si>
    <x:t xml:space="preserve">Murtabak</x:t>
  </x:si>
  <x:si>
    <x:t xml:space="preserve">Stuffed prata with minced mutton and onion, with curry</x:t>
  </x:si>
  <x:si>
    <x:t xml:space="preserve">Mee goreng (Indian)</x:t>
  </x:si>
  <x:si>
    <x:t xml:space="preserve">Yellow noodles fried with tomato, chilli, egg and potato</x:t>
  </x:si>
  <x:si>
    <x:t xml:space="preserve">Mee siam</x:t>
  </x:si>
  <x:si>
    <x:t xml:space="preserve">Thin rice noodles in sweet-sour-spicy tamarind gravy</x:t>
  </x:si>
  <x:si>
    <x:t xml:space="preserve">Mee rebus</x:t>
  </x:si>
  <x:si>
    <x:t xml:space="preserve">Yellow noodles in thick sweet potato gravy</x:t>
  </x:si>
  <x:si>
    <x:t xml:space="preserve">Lor mee</x:t>
  </x:si>
  <x:si>
    <x:t xml:space="preserve">Thick noodles in starchy braised gravy with black vinegar</x:t>
  </x:si>
  <x:si>
    <x:t xml:space="preserve">Prawn noodle soup</x:t>
  </x:si>
  <x:si>
    <x:t xml:space="preserve">Noodles in deep prawn and pork bone broth</x:t>
  </x:si>
  <x:si>
    <x:t xml:space="preserve">Wanton mee</x:t>
  </x:si>
  <x:si>
    <x:t xml:space="preserve">Thin egg noodles with char siu, wantons, chilli and soy</x:t>
  </x:si>
  <x:si>
    <x:t xml:space="preserve">Duck rice</x:t>
  </x:si>
  <x:si>
    <x:t xml:space="preserve">Braised duck with rice and herbal soy gravy</x:t>
  </x:si>
  <x:si>
    <x:t xml:space="preserve">Char siu rice</x:t>
  </x:si>
  <x:si>
    <x:t xml:space="preserve">Sweet roast pork with rice and gravy</x:t>
  </x:si>
  <x:si>
    <x:t xml:space="preserve">Roast pork (siew yoke) rice</x:t>
  </x:si>
  <x:si>
    <x:t xml:space="preserve">Crackling roast pork belly with rice</x:t>
  </x:si>
  <x:si>
    <x:t xml:space="preserve">Fish soup (sliced fish)</x:t>
  </x:si>
  <x:si>
    <x:t xml:space="preserve">Clear soup with sliced fish and vegetables</x:t>
  </x:si>
  <x:si>
    <x:t xml:space="preserve">Yong tau foo (soup)</x:t>
  </x:si>
  <x:si>
    <x:t xml:space="preserve">Stuffed tofu and vegetables in clear soup</x:t>
  </x:si>
  <x:si>
    <x:t xml:space="preserve">Ban mian</x:t>
  </x:si>
  <x:si>
    <x:t xml:space="preserve">Handmade noodles in anchovy soup with egg and minced pork</x:t>
  </x:si>
  <x:si>
    <x:t xml:space="preserve">Kaya toast with soft-boiled eggs</x:t>
  </x:si>
  <x:si>
    <x:t xml:space="preserve">Toast with coconut-egg jam and butter, eggs with soy and pepper</x:t>
  </x:si>
  <x:si>
    <x:t xml:space="preserve">Kopi</x:t>
  </x:si>
  <x:si>
    <x:t xml:space="preserve">Local coffee with condensed milk</x:t>
  </x:si>
  <x:si>
    <x:t xml:space="preserve">Teh tarik</x:t>
  </x:si>
  <x:si>
    <x:t xml:space="preserve">Pulled milk tea</x:t>
  </x:si>
  <x:si>
    <x:t xml:space="preserve">Ice kacang</x:t>
  </x:si>
  <x:si>
    <x:t xml:space="preserve">Shaved ice with syrups, red beans, corn and evaporated milk</x:t>
  </x:si>
  <x:si>
    <x:t xml:space="preserve">Orh nee</x:t>
  </x:si>
  <x:si>
    <x:t xml:space="preserve">Yam paste dessert with gingko nuts</x:t>
  </x:si>
  <x:si>
    <x:t xml:space="preserve">Tau huay</x:t>
  </x:si>
  <x:si>
    <x:t xml:space="preserve">Soft soybean curd in sugar syrup</x:t>
  </x:si>
  <x:si>
    <x:t xml:space="preserve">Goreng pisang</x:t>
  </x:si>
  <x:si>
    <x:t xml:space="preserve">Fried banana fritters</x:t>
  </x:si>
  <x:si>
    <x:t xml:space="preserve">Oyster omelette</x:t>
  </x:si>
  <x:si>
    <x:t xml:space="preserve">Egg and starch fried with oysters, with chilli sauce</x:t>
  </x:si>
  <x:si>
    <x:t xml:space="preserve">Sambal stingray</x:t>
  </x:si>
  <x:si>
    <x:t xml:space="preserve">Grilled stingray topped with sambal and lime</x:t>
  </x:si>
  <x:si>
    <x:t xml:space="preserve">Mala xiang guo</x:t>
  </x:si>
  <x:si>
    <x:t xml:space="preserve">Stir-fried mix in numbing, spicy mala sauce</x:t>
  </x:si>
  <x:si>
    <x:t xml:space="preserve">Ayam penyet</x:t>
  </x:si>
  <x:si>
    <x:t xml:space="preserve">Smashed fried chicken with very spicy sambal</x:t>
  </x:si>
  <x:si>
    <x:t xml:space="preserve">Beef rendang</x:t>
  </x:si>
  <x:si>
    <x:t xml:space="preserve">Dry, slow-cooked beef in coconut and spice paste</x:t>
  </x:si>
  <x:si>
    <x:t xml:space="preserve">Fish head curry</x:t>
  </x:si>
  <x:si>
    <x:t xml:space="preserve">Fish head in spicy, tangy curry with vegetables</x:t>
  </x:si>
  <x:si>
    <x:t xml:space="preserve">Biryani (chicken)</x:t>
  </x:si>
  <x:si>
    <x:t xml:space="preserve">Spiced basmati rice with chicken</x:t>
  </x:si>
  <x:si>
    <x:t xml:space="preserve">Popiah</x:t>
  </x:si>
  <x:si>
    <x:t xml:space="preserve">Fresh spring roll with braised turnip, sweet sauce and chilli</x:t>
  </x:si>
  <x:si>
    <x:t xml:space="preserve">Chwee kueh</x:t>
  </x:si>
  <x:si>
    <x:t xml:space="preserve">Steamed rice cakes topped with preserved radish</x:t>
  </x:si>
  <x:si>
    <x:t xml:space="preserve">Economic bee hoon</x:t>
  </x:si>
  <x:si>
    <x:t xml:space="preserve">Plain fried rice vermicelli</x:t>
  </x:si>
  <x:si>
    <x:t xml:space="preserve">Claypot rice</x:t>
  </x:si>
  <x:si>
    <x:t xml:space="preserve">Rice cooked in claypot with chicken, sausage and dark soy</x:t>
  </x:si>
  <x:si>
    <x:t xml:space="preserve">Prawn paste chicken (har cheong gai)</x:t>
  </x:si>
  <x:si>
    <x:t xml:space="preserve">Fried chicken marinated in fermented shrimp paste</x:t>
  </x:si>
  <x:si>
    <x:t xml:space="preserve">Tom yum soup</x:t>
  </x:si>
  <x:si>
    <x:t xml:space="preserve">Hot and sour Thai soup with prawns</x:t>
  </x:si>
  <x:si>
    <x:t xml:space="preserve">Score how each dish usually tastes in Singapore, 0 (none) to 10 (extreme). Halves are fine.</x:t>
  </x:si>
  <x:si>
    <x:t xml:space="preserve">Rich = fat, coconut milk, oil, creaminess. Aromatic = herbs, spices, wok hei, fragrance.</x:t>
  </x:si>
  <x:si>
    <x:t xml:space="preserve">Leave a row blank if you don't know the dish; the check skips it.</x:t>
  </x:si>
  <x:si>
    <x:t xml:space="preserve">Chicken rice, laksa, chendol and assam fish are the examples inside the AI prompt, so they are reported separately.</x:t>
  </x:si>
  <x:si>
    <x:t xml:space="preserve">Save the filled file as data/taste-answer-key.xlsx, then run: ANTHROPIC_API_KEY=... npx tsx scripts/taste-answer-key-eval.mjs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</x:si>
</x:sst>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11">
    <x:font>
      <x:sz val="11"/>
      <x:color theme="1"/>
      <x:name val="Calibri"/>
    </x:font>
    <x:font>
      <x:b/>
    </x:font>
    <x:font>
      <x:b/>
      <x:sz val="11"/>
      <x:color rgb="FFFFFFFF"/>
    </x:font>
    <x:font>
      <x:sz val="11"/>
      <x:color rgb="FF183153"/>
      <x:name val="Calibri"/>
    </x:font>
    <x:font>
      <x:b/>
      <x:sz val="11"/>
      <x:color rgb="FF183153"/>
      <x:name val="Calibri"/>
    </x:font>
    <x:font>
      <x:b/>
      <x:sz val="16"/>
      <x:color rgb="FFFFFFFF"/>
      <x:name val="Calibri"/>
    </x:font>
    <x:font>
      <x:sz val="11"/>
      <x:color rgb="FF155E75"/>
      <x:name val="Calibri"/>
    </x:font>
    <x:font>
      <x:b/>
      <x:sz val="11"/>
      <x:color theme="1"/>
      <x:name val="Calibri"/>
    </x:font>
    <x:font>
      <x:sz val="11"/>
      <x:color rgb="FF087E8B"/>
      <x:name val="Calibri"/>
    </x:font>
    <x:font>
      <x:b/>
      <x:sz val="11"/>
      <x:color rgb="FFFFFFFF"/>
      <x:name val="Calibri"/>
    </x:font>
    <x:font>
      <x:b/>
      <x:sz val="12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FFAF5"/>
      </x:patternFill>
    </x:fill>
    <x:fill>
      <x:patternFill patternType="solid">
        <x:fgColor rgb="FFF8FAFC"/>
      </x:patternFill>
    </x:fill>
    <x:fill>
      <x:patternFill patternType="solid">
        <x:fgColor rgb="FFE6F5F6"/>
      </x:patternFill>
    </x:fill>
    <x:fill>
      <x:patternFill patternType="solid">
        <x:fgColor rgb="FF087E8B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61c9b0533461f" /><Relationship Type="http://schemas.openxmlformats.org/officeDocument/2006/relationships/theme" Target="/xl/theme/theme1.xml" Id="R09f79a6438e84d29" /><Relationship Type="http://schemas.openxmlformats.org/officeDocument/2006/relationships/sharedStrings" Target="/xl/sharedStrings.xml" Id="Ra2791dceefc741df" /><Relationship Type="http://schemas.openxmlformats.org/officeDocument/2006/relationships/worksheet" Target="/xl/worksheets/sheet1.xml" Id="R5b764863fa7b4fd8" /><Relationship Type="http://schemas.openxmlformats.org/officeDocument/2006/relationships/worksheet" Target="/xl/worksheets/sheet2.xml" Id="R462e0fa883a84e84" /><Relationship Type="http://schemas.openxmlformats.org/officeDocument/2006/relationships/worksheet" Target="/xl/worksheets/sheet3.xml" Id="Rab7669f123ca48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69" hidden="0" customWidth="1"/>
    <x:col min="3" max="8" width="10" customWidth="1"/>
    <x:col min="9" max="9" width="7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s="1" customFormat="1" ht="32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</x:row>
    <x:row r="2" ht="34" customHeight="1">
      <x:c r="A2" s="24" t="s">
        <x:v>9</x:v>
      </x:c>
      <x:c r="B2" s="21" t="s">
        <x:v>10</x:v>
      </x:c>
      <x:c r="C2" s="16" t="n">
        <x:v>1</x:v>
      </x:c>
      <x:c r="D2" s="16" t="n">
        <x:v>3</x:v>
      </x:c>
      <x:c r="E2" s="16" t="n">
        <x:v>2</x:v>
      </x:c>
      <x:c r="F2" s="16" t="n">
        <x:v>5.5</x:v>
      </x:c>
      <x:c r="G2" s="16" t="n">
        <x:v>5.5</x:v>
      </x:c>
      <x:c r="H2" s="16" t="n">
        <x:v>7.5</x:v>
      </x:c>
      <x:c r="I2" s="12" t="str">
        <x:v>Fragrant ginger/chicken-fat rice; heat and tang come mainly from optional chilli.  [S01]</x:v>
      </x:c>
    </x:row>
    <x:row r="3" ht="34" customHeight="1">
      <x:c r="A3" s="24" t="s">
        <x:v>11</x:v>
      </x:c>
      <x:c r="B3" s="21" t="s">
        <x:v>12</x:v>
      </x:c>
      <x:c r="C3" s="16" t="n">
        <x:v>2.5</x:v>
      </x:c>
      <x:c r="D3" s="16" t="n">
        <x:v>6</x:v>
      </x:c>
      <x:c r="E3" s="16" t="n">
        <x:v>1</x:v>
      </x:c>
      <x:c r="F3" s="16" t="n">
        <x:v>6.5</x:v>
      </x:c>
      <x:c r="G3" s="16" t="n">
        <x:v>8.5</x:v>
      </x:c>
      <x:c r="H3" s="16" t="n">
        <x:v>9</x:v>
      </x:c>
      <x:c r="I3" s="12" t="str">
        <x:v>Coconut-rich rempah broth; sambal and laksa leaves build heat and fragrance.  [S01]</x:v>
      </x:c>
    </x:row>
    <x:row r="4" ht="34" customHeight="1">
      <x:c r="A4" s="24" t="s">
        <x:v>13</x:v>
      </x:c>
      <x:c r="B4" s="21" t="s">
        <x:v>14</x:v>
      </x:c>
      <x:c r="C4" s="16" t="n">
        <x:v>9</x:v>
      </x:c>
      <x:c r="D4" s="16" t="n">
        <x:v>0</x:v>
      </x:c>
      <x:c r="E4" s="16" t="n">
        <x:v>0</x:v>
      </x:c>
      <x:c r="F4" s="16" t="n">
        <x:v>0.5</x:v>
      </x:c>
      <x:c r="G4" s="16" t="n">
        <x:v>7</x:v>
      </x:c>
      <x:c r="H4" s="16" t="n">
        <x:v>7</x:v>
      </x:c>
      <x:c r="I4" s="12" t="str">
        <x:v>Gula melaka dominates sweetness; coconut milk adds richness, pandan adds aroma.  [S03]</x:v>
      </x:c>
    </x:row>
    <x:row r="5" ht="34" customHeight="1">
      <x:c r="A5" s="24" t="s">
        <x:v>15</x:v>
      </x:c>
      <x:c r="B5" s="21" t="s">
        <x:v>16</x:v>
      </x:c>
      <x:c r="C5" s="16" t="n">
        <x:v>2</x:v>
      </x:c>
      <x:c r="D5" s="16" t="n">
        <x:v>7</x:v>
      </x:c>
      <x:c r="E5" s="16" t="n">
        <x:v>9</x:v>
      </x:c>
      <x:c r="F5" s="16" t="n">
        <x:v>6.5</x:v>
      </x:c>
      <x:c r="G5" s="16" t="n">
        <x:v>4</x:v>
      </x:c>
      <x:c r="H5" s="16" t="n">
        <x:v>8.5</x:v>
      </x:c>
      <x:c r="I5" s="12" t="str">
        <x:v>Tamarind drives pronounced sourness; chilli-rempah adds heat and fragrance.  [S04]</x:v>
      </x:c>
    </x:row>
    <x:row r="6" ht="34" customHeight="1">
      <x:c r="A6" s="26" t="s">
        <x:v>17</x:v>
      </x:c>
      <x:c r="B6" s="27" t="s">
        <x:v>18</x:v>
      </x:c>
      <x:c r="C6" s="28" t="n">
        <x:v>5.5</x:v>
      </x:c>
      <x:c r="D6" s="28" t="n">
        <x:v>1.5</x:v>
      </x:c>
      <x:c r="E6" s="28" t="n">
        <x:v>0.5</x:v>
      </x:c>
      <x:c r="F6" s="28" t="n">
        <x:v>7</x:v>
      </x:c>
      <x:c r="G6" s="28" t="n">
        <x:v>8</x:v>
      </x:c>
      <x:c r="H6" s="28" t="n">
        <x:v>9</x:v>
      </x:c>
      <x:c r="I6" s="27" t="str">
        <x:v>Sweet dark soy, fried lard and wok hei; chilli is not the main flavour.  [S02]</x:v>
      </x:c>
    </x:row>
    <x:row r="7" ht="34" customHeight="1">
      <x:c r="A7" s="18" t="s">
        <x:v>19</x:v>
      </x:c>
      <x:c r="B7" s="12" t="s">
        <x:v>20</x:v>
      </x:c>
      <x:c r="C7" s="16" t="n">
        <x:v>1.5</x:v>
      </x:c>
      <x:c r="D7" s="16" t="n">
        <x:v>5.5</x:v>
      </x:c>
      <x:c r="E7" s="16" t="n">
        <x:v>8</x:v>
      </x:c>
      <x:c r="F7" s="16" t="n">
        <x:v>7</x:v>
      </x:c>
      <x:c r="G7" s="16" t="n">
        <x:v>6</x:v>
      </x:c>
      <x:c r="H7" s="16" t="n">
        <x:v>7</x:v>
      </x:c>
      <x:c r="I7" s="12" t="str">
        <x:v>Black vinegar provides sharp tang; chilli, pork lard and sauce add body.  [S01]</x:v>
      </x:c>
    </x:row>
    <x:row r="8" ht="34" customHeight="1">
      <x:c r="A8" s="26" t="s">
        <x:v>21</x:v>
      </x:c>
      <x:c r="B8" s="27" t="s">
        <x:v>22</x:v>
      </x:c>
      <x:c r="C8" s="28" t="n">
        <x:v>1.5</x:v>
      </x:c>
      <x:c r="D8" s="28" t="n">
        <x:v>4.5</x:v>
      </x:c>
      <x:c r="E8" s="28" t="n">
        <x:v>6</x:v>
      </x:c>
      <x:c r="F8" s="28" t="n">
        <x:v>6.5</x:v>
      </x:c>
      <x:c r="G8" s="28" t="n">
        <x:v>4.5</x:v>
      </x:c>
      <x:c r="H8" s="28" t="n">
        <x:v>5.5</x:v>
      </x:c>
      <x:c r="I8" s="27" t="str">
        <x:v>Dry chilli-vinegar dressing adds tang and medium heat; fishballs are mild.  [S02]</x:v>
      </x:c>
    </x:row>
    <x:row r="9" ht="34" customHeight="1">
      <x:c r="A9" s="18" t="s">
        <x:v>23</x:v>
      </x:c>
      <x:c r="B9" s="12" t="s">
        <x:v>24</x:v>
      </x:c>
      <x:c r="C9" s="16" t="n">
        <x:v>1.5</x:v>
      </x:c>
      <x:c r="D9" s="16" t="n">
        <x:v>3.5</x:v>
      </x:c>
      <x:c r="E9" s="16" t="n">
        <x:v>2.5</x:v>
      </x:c>
      <x:c r="F9" s="16" t="n">
        <x:v>7.5</x:v>
      </x:c>
      <x:c r="G9" s="16" t="n">
        <x:v>6.5</x:v>
      </x:c>
      <x:c r="H9" s="16" t="n">
        <x:v>8.5</x:v>
      </x:c>
      <x:c r="I9" s="12" t="str">
        <x:v>Concentrated prawn-pork stock; sambal and calamansi raise heat and sourness.  [S01]</x:v>
      </x:c>
    </x:row>
    <x:row r="10" ht="34" customHeight="1">
      <x:c r="A10" s="26" t="s">
        <x:v>25</x:v>
      </x:c>
      <x:c r="B10" s="27" t="s">
        <x:v>26</x:v>
      </x:c>
      <x:c r="C10" s="28" t="n">
        <x:v>3</x:v>
      </x:c>
      <x:c r="D10" s="28" t="n">
        <x:v>6</x:v>
      </x:c>
      <x:c r="E10" s="28" t="n">
        <x:v>1.5</x:v>
      </x:c>
      <x:c r="F10" s="28" t="n">
        <x:v>6.5</x:v>
      </x:c>
      <x:c r="G10" s="28" t="n">
        <x:v>8</x:v>
      </x:c>
      <x:c r="H10" s="28" t="n">
        <x:v>8.5</x:v>
      </x:c>
      <x:c r="I10" s="27" t="str">
        <x:v>Coconut-pandan rice plus savoury sides; sambal is the main heat source.  [S11]</x:v>
      </x:c>
    </x:row>
    <x:row r="11" ht="34" customHeight="1">
      <x:c r="A11" s="18" t="s">
        <x:v>27</x:v>
      </x:c>
      <x:c r="B11" s="12" t="s">
        <x:v>28</x:v>
      </x:c>
      <x:c r="C11" s="16" t="n">
        <x:v>7.5</x:v>
      </x:c>
      <x:c r="D11" s="16" t="n">
        <x:v>5.5</x:v>
      </x:c>
      <x:c r="E11" s="16" t="n">
        <x:v>3.5</x:v>
      </x:c>
      <x:c r="F11" s="16" t="n">
        <x:v>6.5</x:v>
      </x:c>
      <x:c r="G11" s="16" t="n">
        <x:v>6.5</x:v>
      </x:c>
      <x:c r="H11" s="16" t="n">
        <x:v>7.5</x:v>
      </x:c>
      <x:c r="I11" s="12" t="str">
        <x:v>Sweet tomato-chilli gravy with mild tang and moderate heat; egg adds body.  [S05]</x:v>
      </x:c>
    </x:row>
    <x:row r="12" ht="34" customHeight="1">
      <x:c r="A12" s="26" t="s">
        <x:v>29</x:v>
      </x:c>
      <x:c r="B12" s="27" t="s">
        <x:v>30</x:v>
      </x:c>
      <x:c r="C12" s="28" t="n">
        <x:v>2.5</x:v>
      </x:c>
      <x:c r="D12" s="28" t="n">
        <x:v>7</x:v>
      </x:c>
      <x:c r="E12" s="28" t="n">
        <x:v>0.5</x:v>
      </x:c>
      <x:c r="F12" s="28" t="n">
        <x:v>7</x:v>
      </x:c>
      <x:c r="G12" s="28" t="n">
        <x:v>8</x:v>
      </x:c>
      <x:c r="H12" s="28" t="n">
        <x:v>9</x:v>
      </x:c>
      <x:c r="I12" s="27" t="str">
        <x:v>Black-pepper warmth dominates; butter/oil and wok-fried pepper intensify richness.  [S05]</x:v>
      </x:c>
    </x:row>
    <x:row r="13" ht="34" customHeight="1">
      <x:c r="A13" s="18" t="s">
        <x:v>31</x:v>
      </x:c>
      <x:c r="B13" s="12" t="s">
        <x:v>32</x:v>
      </x:c>
      <x:c r="C13" s="16" t="n">
        <x:v>0.5</x:v>
      </x:c>
      <x:c r="D13" s="16" t="n">
        <x:v>4.5</x:v>
      </x:c>
      <x:c r="E13" s="16" t="n">
        <x:v>0</x:v>
      </x:c>
      <x:c r="F13" s="16" t="n">
        <x:v>6.5</x:v>
      </x:c>
      <x:c r="G13" s="16" t="n">
        <x:v>4</x:v>
      </x:c>
      <x:c r="H13" s="16" t="n">
        <x:v>7</x:v>
      </x:c>
      <x:c r="I13" s="12" t="str">
        <x:v>Clear Teochew-style broth; white pepper and garlic, not chilli, supply warmth.  [S06]</x:v>
      </x:c>
    </x:row>
    <x:row r="14" ht="34" customHeight="1">
      <x:c r="A14" s="26" t="s">
        <x:v>33</x:v>
      </x:c>
      <x:c r="B14" s="27" t="s">
        <x:v>34</x:v>
      </x:c>
      <x:c r="C14" s="28" t="n">
        <x:v>5.5</x:v>
      </x:c>
      <x:c r="D14" s="28" t="n">
        <x:v>3</x:v>
      </x:c>
      <x:c r="E14" s="28" t="n">
        <x:v>1.5</x:v>
      </x:c>
      <x:c r="F14" s="28" t="n">
        <x:v>6</x:v>
      </x:c>
      <x:c r="G14" s="28" t="n">
        <x:v>6.5</x:v>
      </x:c>
      <x:c r="H14" s="28" t="n">
        <x:v>9</x:v>
      </x:c>
      <x:c r="I14" s="27" t="str">
        <x:v>Sweet-spiced marinade, charcoal smoke and nutty peanut sauce; gentle heat.  [S01]</x:v>
      </x:c>
    </x:row>
    <x:row r="15" ht="34" customHeight="1">
      <x:c r="A15" s="18" t="s">
        <x:v>35</x:v>
      </x:c>
      <x:c r="B15" s="12" t="s">
        <x:v>36</x:v>
      </x:c>
      <x:c r="C15" s="16" t="n">
        <x:v>7.5</x:v>
      </x:c>
      <x:c r="D15" s="16" t="n">
        <x:v>3.5</x:v>
      </x:c>
      <x:c r="E15" s="16" t="n">
        <x:v>5.5</x:v>
      </x:c>
      <x:c r="F15" s="16" t="n">
        <x:v>5.5</x:v>
      </x:c>
      <x:c r="G15" s="16" t="n">
        <x:v>3.5</x:v>
      </x:c>
      <x:c r="H15" s="16" t="n">
        <x:v>6</x:v>
      </x:c>
      <x:c r="I15" s="12" t="str">
        <x:v>Sweet prawn-paste dressing with tangy fruit, chilli and crushed peanuts.  [S09]</x:v>
      </x:c>
    </x:row>
    <x:row r="16" ht="34" customHeight="1">
      <x:c r="A16" s="26" t="s">
        <x:v>37</x:v>
      </x:c>
      <x:c r="B16" s="27" t="s">
        <x:v>38</x:v>
      </x:c>
      <x:c r="C16" s="28" t="n">
        <x:v>6</x:v>
      </x:c>
      <x:c r="D16" s="28" t="n">
        <x:v>1.5</x:v>
      </x:c>
      <x:c r="E16" s="28" t="n">
        <x:v>0.5</x:v>
      </x:c>
      <x:c r="F16" s="28" t="n">
        <x:v>6</x:v>
      </x:c>
      <x:c r="G16" s="28" t="n">
        <x:v>7.5</x:v>
      </x:c>
      <x:c r="H16" s="28" t="n">
        <x:v>8.5</x:v>
      </x:c>
      <x:c r="I16" s="27" t="str">
        <x:v>Sweet dark soy makes black carrot cake sweeter; eggs/oil and wok hei remain strong.  [S01]</x:v>
      </x:c>
    </x:row>
    <x:row r="17" ht="34" customHeight="1">
      <x:c r="A17" s="18" t="s">
        <x:v>39</x:v>
      </x:c>
      <x:c r="B17" s="12" t="s">
        <x:v>40</x:v>
      </x:c>
      <x:c r="C17" s="16" t="n">
        <x:v>1.5</x:v>
      </x:c>
      <x:c r="D17" s="16" t="n">
        <x:v>1.5</x:v>
      </x:c>
      <x:c r="E17" s="16" t="n">
        <x:v>0.5</x:v>
      </x:c>
      <x:c r="F17" s="16" t="n">
        <x:v>6.5</x:v>
      </x:c>
      <x:c r="G17" s="16" t="n">
        <x:v>7.5</x:v>
      </x:c>
      <x:c r="H17" s="16" t="n">
        <x:v>8.5</x:v>
      </x:c>
      <x:c r="I17" s="12" t="str">
        <x:v>White version omits sweet dark soy; preserved radish, egg and wok hei lead.  [S01]</x:v>
      </x:c>
    </x:row>
    <x:row r="18" ht="34" customHeight="1">
      <x:c r="A18" s="26" t="s">
        <x:v>41</x:v>
      </x:c>
      <x:c r="B18" s="27" t="s">
        <x:v>42</x:v>
      </x:c>
      <x:c r="C18" s="28" t="n">
        <x:v>0.5</x:v>
      </x:c>
      <x:c r="D18" s="28" t="n">
        <x:v>5.5</x:v>
      </x:c>
      <x:c r="E18" s="28" t="n">
        <x:v>2</x:v>
      </x:c>
      <x:c r="F18" s="28" t="n">
        <x:v>6.5</x:v>
      </x:c>
      <x:c r="G18" s="28" t="n">
        <x:v>8</x:v>
      </x:c>
      <x:c r="H18" s="28" t="n">
        <x:v>8</x:v>
      </x:c>
      <x:c r="I18" s="27" t="str">
        <x:v>Buttery/oily prata paired with spiced fish curry; sourness varies with curry.  [S13]</x:v>
      </x:c>
    </x:row>
    <x:row r="19" ht="34" customHeight="1">
      <x:c r="A19" s="18" t="s">
        <x:v>43</x:v>
      </x:c>
      <x:c r="B19" s="12" t="s">
        <x:v>44</x:v>
      </x:c>
      <x:c r="C19" s="16" t="n">
        <x:v>1.5</x:v>
      </x:c>
      <x:c r="D19" s="16" t="n">
        <x:v>5</x:v>
      </x:c>
      <x:c r="E19" s="16" t="n">
        <x:v>2</x:v>
      </x:c>
      <x:c r="F19" s="16" t="n">
        <x:v>7</x:v>
      </x:c>
      <x:c r="G19" s="16" t="n">
        <x:v>8</x:v>
      </x:c>
      <x:c r="H19" s="16" t="n">
        <x:v>8.5</x:v>
      </x:c>
      <x:c r="I19" s="12" t="str">
        <x:v>Rich stuffed fried bread; mutton-onion filling and curry deliver spice.  [WB]</x:v>
      </x:c>
    </x:row>
    <x:row r="20" ht="34" customHeight="1">
      <x:c r="A20" s="26" t="s">
        <x:v>45</x:v>
      </x:c>
      <x:c r="B20" s="27" t="s">
        <x:v>46</x:v>
      </x:c>
      <x:c r="C20" s="28" t="n">
        <x:v>4</x:v>
      </x:c>
      <x:c r="D20" s="28" t="n">
        <x:v>6</x:v>
      </x:c>
      <x:c r="E20" s="28" t="n">
        <x:v>4</x:v>
      </x:c>
      <x:c r="F20" s="28" t="n">
        <x:v>7</x:v>
      </x:c>
      <x:c r="G20" s="28" t="n">
        <x:v>7</x:v>
      </x:c>
      <x:c r="H20" s="28" t="n">
        <x:v>8</x:v>
      </x:c>
      <x:c r="I20" s="27" t="str">
        <x:v>Tomato and chilli sauce balances mild sweetness/tang with fried-noodle aroma.  [WB]</x:v>
      </x:c>
    </x:row>
    <x:row r="21" ht="34" customHeight="1">
      <x:c r="A21" s="18" t="s">
        <x:v>47</x:v>
      </x:c>
      <x:c r="B21" s="12" t="s">
        <x:v>48</x:v>
      </x:c>
      <x:c r="C21" s="16" t="n">
        <x:v>5.5</x:v>
      </x:c>
      <x:c r="D21" s="16" t="n">
        <x:v>5</x:v>
      </x:c>
      <x:c r="E21" s="16" t="n">
        <x:v>8</x:v>
      </x:c>
      <x:c r="F21" s="16" t="n">
        <x:v>6</x:v>
      </x:c>
      <x:c r="G21" s="16" t="n">
        <x:v>4.5</x:v>
      </x:c>
      <x:c r="H21" s="16" t="n">
        <x:v>7.5</x:v>
      </x:c>
      <x:c r="I21" s="12" t="str">
        <x:v>Tamarind gravy is boldly sweet-sour; sambal supplies a moderate chilli kick.  [S07]</x:v>
      </x:c>
    </x:row>
    <x:row r="22" ht="34" customHeight="1">
      <x:c r="A22" s="26" t="s">
        <x:v>49</x:v>
      </x:c>
      <x:c r="B22" s="27" t="s">
        <x:v>50</x:v>
      </x:c>
      <x:c r="C22" s="28" t="n">
        <x:v>6</x:v>
      </x:c>
      <x:c r="D22" s="28" t="n">
        <x:v>3.5</x:v>
      </x:c>
      <x:c r="E22" s="28" t="n">
        <x:v>2.5</x:v>
      </x:c>
      <x:c r="F22" s="28" t="n">
        <x:v>6</x:v>
      </x:c>
      <x:c r="G22" s="28" t="n">
        <x:v>5.5</x:v>
      </x:c>
      <x:c r="H22" s="28" t="n">
        <x:v>7.5</x:v>
      </x:c>
      <x:c r="I22" s="27" t="str">
        <x:v>Sweet potato gravy is naturally sweet and spiced; heat usually modest.  [WB]</x:v>
      </x:c>
    </x:row>
    <x:row r="23" ht="34" customHeight="1">
      <x:c r="A23" s="18" t="s">
        <x:v>51</x:v>
      </x:c>
      <x:c r="B23" s="12" t="s">
        <x:v>52</x:v>
      </x:c>
      <x:c r="C23" s="16" t="n">
        <x:v>2.5</x:v>
      </x:c>
      <x:c r="D23" s="16" t="n">
        <x:v>3</x:v>
      </x:c>
      <x:c r="E23" s="16" t="n">
        <x:v>7</x:v>
      </x:c>
      <x:c r="F23" s="16" t="n">
        <x:v>7.5</x:v>
      </x:c>
      <x:c r="G23" s="16" t="n">
        <x:v>6.5</x:v>
      </x:c>
      <x:c r="H23" s="16" t="n">
        <x:v>6.5</x:v>
      </x:c>
      <x:c r="I23" s="12" t="str">
        <x:v>Thick savoury braised gravy; black vinegar is a prominent sour counterpoint.  [S08]</x:v>
      </x:c>
    </x:row>
    <x:row r="24" ht="34" customHeight="1">
      <x:c r="A24" s="26" t="s">
        <x:v>53</x:v>
      </x:c>
      <x:c r="B24" s="27" t="s">
        <x:v>54</x:v>
      </x:c>
      <x:c r="C24" s="28" t="n">
        <x:v>2</x:v>
      </x:c>
      <x:c r="D24" s="28" t="n">
        <x:v>1</x:v>
      </x:c>
      <x:c r="E24" s="28" t="n">
        <x:v>0.5</x:v>
      </x:c>
      <x:c r="F24" s="28" t="n">
        <x:v>8</x:v>
      </x:c>
      <x:c r="G24" s="28" t="n">
        <x:v>5.5</x:v>
      </x:c>
      <x:c r="H24" s="28" t="n">
        <x:v>7.5</x:v>
      </x:c>
      <x:c r="I24" s="27" t="str">
        <x:v>Prawn and pork broth is deeply savoury; little heat without added chilli.  [S01]</x:v>
      </x:c>
    </x:row>
    <x:row r="25" ht="34" customHeight="1">
      <x:c r="A25" s="18" t="s">
        <x:v>55</x:v>
      </x:c>
      <x:c r="B25" s="12" t="s">
        <x:v>56</x:v>
      </x:c>
      <x:c r="C25" s="16" t="n">
        <x:v>4.5</x:v>
      </x:c>
      <x:c r="D25" s="16" t="n">
        <x:v>4</x:v>
      </x:c>
      <x:c r="E25" s="16" t="n">
        <x:v>1.5</x:v>
      </x:c>
      <x:c r="F25" s="16" t="n">
        <x:v>7</x:v>
      </x:c>
      <x:c r="G25" s="16" t="n">
        <x:v>5.5</x:v>
      </x:c>
      <x:c r="H25" s="16" t="n">
        <x:v>7</x:v>
      </x:c>
      <x:c r="I25" s="12" t="str">
        <x:v>Char siu adds sweetness; soy, shallot oil and optional chilli dominate.  [S01]</x:v>
      </x:c>
    </x:row>
    <x:row r="26" ht="34" customHeight="1">
      <x:c r="A26" s="26" t="s">
        <x:v>57</x:v>
      </x:c>
      <x:c r="B26" s="27" t="s">
        <x:v>58</x:v>
      </x:c>
      <x:c r="C26" s="28" t="n">
        <x:v>3.5</x:v>
      </x:c>
      <x:c r="D26" s="28" t="n">
        <x:v>1.5</x:v>
      </x:c>
      <x:c r="E26" s="28" t="n">
        <x:v>0.5</x:v>
      </x:c>
      <x:c r="F26" s="28" t="n">
        <x:v>7.5</x:v>
      </x:c>
      <x:c r="G26" s="28" t="n">
        <x:v>6.5</x:v>
      </x:c>
      <x:c r="H26" s="28" t="n">
        <x:v>7.5</x:v>
      </x:c>
      <x:c r="I26" s="27" t="str">
        <x:v>Spiced soy braise brings salt and herbal aroma; chilli is usually a side.  [S12]</x:v>
      </x:c>
    </x:row>
    <x:row r="27" ht="34" customHeight="1">
      <x:c r="A27" s="18" t="s">
        <x:v>59</x:v>
      </x:c>
      <x:c r="B27" s="12" t="s">
        <x:v>60</x:v>
      </x:c>
      <x:c r="C27" s="16" t="n">
        <x:v>6</x:v>
      </x:c>
      <x:c r="D27" s="16" t="n">
        <x:v>0.5</x:v>
      </x:c>
      <x:c r="E27" s="16" t="n">
        <x:v>0.5</x:v>
      </x:c>
      <x:c r="F27" s="16" t="n">
        <x:v>6.5</x:v>
      </x:c>
      <x:c r="G27" s="16" t="n">
        <x:v>6.5</x:v>
      </x:c>
      <x:c r="H27" s="16" t="n">
        <x:v>7</x:v>
      </x:c>
      <x:c r="I27" s="12" t="str">
        <x:v>Honey/maltose-style roast glaze drives sweetness; savoury meat balances it.  [WB]</x:v>
      </x:c>
    </x:row>
    <x:row r="28" ht="34" customHeight="1">
      <x:c r="A28" s="26" t="s">
        <x:v>61</x:v>
      </x:c>
      <x:c r="B28" s="27" t="s">
        <x:v>62</x:v>
      </x:c>
      <x:c r="C28" s="28" t="n">
        <x:v>1.5</x:v>
      </x:c>
      <x:c r="D28" s="28" t="n">
        <x:v>0.5</x:v>
      </x:c>
      <x:c r="E28" s="28" t="n">
        <x:v>0.5</x:v>
      </x:c>
      <x:c r="F28" s="28" t="n">
        <x:v>8</x:v>
      </x:c>
      <x:c r="G28" s="28" t="n">
        <x:v>9</x:v>
      </x:c>
      <x:c r="H28" s="28" t="n">
        <x:v>7.5</x:v>
      </x:c>
      <x:c r="I28" s="27" t="str">
        <x:v>Crisp fatty belly and seasoned crackling dominate; minimal built-in heat.  [WB]</x:v>
      </x:c>
    </x:row>
    <x:row r="29" ht="34" customHeight="1">
      <x:c r="A29" s="18" t="s">
        <x:v>63</x:v>
      </x:c>
      <x:c r="B29" s="12" t="s">
        <x:v>64</x:v>
      </x:c>
      <x:c r="C29" s="16" t="n">
        <x:v>0.5</x:v>
      </x:c>
      <x:c r="D29" s="16" t="n">
        <x:v>0.5</x:v>
      </x:c>
      <x:c r="E29" s="16" t="n">
        <x:v>1.5</x:v>
      </x:c>
      <x:c r="F29" s="16" t="n">
        <x:v>5.5</x:v>
      </x:c>
      <x:c r="G29" s="16" t="n">
        <x:v>2.5</x:v>
      </x:c>
      <x:c r="H29" s="16" t="n">
        <x:v>5</x:v>
      </x:c>
      <x:c r="I29" s="12" t="str">
        <x:v>Clear ginger/fish broth is light; lime or pepper only if added.  [S01]</x:v>
      </x:c>
    </x:row>
    <x:row r="30" ht="34" customHeight="1">
      <x:c r="A30" s="26" t="s">
        <x:v>65</x:v>
      </x:c>
      <x:c r="B30" s="27" t="s">
        <x:v>66</x:v>
      </x:c>
      <x:c r="C30" s="28" t="n">
        <x:v>1</x:v>
      </x:c>
      <x:c r="D30" s="28" t="n">
        <x:v>1</x:v>
      </x:c>
      <x:c r="E30" s="28" t="n">
        <x:v>0.5</x:v>
      </x:c>
      <x:c r="F30" s="28" t="n">
        <x:v>5.5</x:v>
      </x:c>
      <x:c r="G30" s="28" t="n">
        <x:v>2.5</x:v>
      </x:c>
      <x:c r="H30" s="28" t="n">
        <x:v>4.5</x:v>
      </x:c>
      <x:c r="I30" s="27" t="str">
        <x:v>Plain broth, tofu and vegetables stay light; dips may change profile.  [WB]</x:v>
      </x:c>
    </x:row>
    <x:row r="31" ht="34" customHeight="1">
      <x:c r="A31" s="18" t="s">
        <x:v>67</x:v>
      </x:c>
      <x:c r="B31" s="12" t="s">
        <x:v>68</x:v>
      </x:c>
      <x:c r="C31" s="16" t="n">
        <x:v>0.5</x:v>
      </x:c>
      <x:c r="D31" s="16" t="n">
        <x:v>1</x:v>
      </x:c>
      <x:c r="E31" s="16" t="n">
        <x:v>0.5</x:v>
      </x:c>
      <x:c r="F31" s="16" t="n">
        <x:v>6.5</x:v>
      </x:c>
      <x:c r="G31" s="16" t="n">
        <x:v>4</x:v>
      </x:c>
      <x:c r="H31" s="16" t="n">
        <x:v>6.5</x:v>
      </x:c>
      <x:c r="I31" s="12" t="str">
        <x:v>Anchovy-based broth, fried shallot/egg aroma; chilli usually optional.  [WB]</x:v>
      </x:c>
    </x:row>
    <x:row r="32" ht="34" customHeight="1">
      <x:c r="A32" s="26" t="s">
        <x:v>69</x:v>
      </x:c>
      <x:c r="B32" s="27" t="s">
        <x:v>70</x:v>
      </x:c>
      <x:c r="C32" s="28" t="n">
        <x:v>6.5</x:v>
      </x:c>
      <x:c r="D32" s="28" t="n">
        <x:v>1.5</x:v>
      </x:c>
      <x:c r="E32" s="28" t="n">
        <x:v>0</x:v>
      </x:c>
      <x:c r="F32" s="28" t="n">
        <x:v>4.5</x:v>
      </x:c>
      <x:c r="G32" s="28" t="n">
        <x:v>8</x:v>
      </x:c>
      <x:c r="H32" s="28" t="n">
        <x:v>7</x:v>
      </x:c>
      <x:c r="I32" s="27" t="str">
        <x:v>Sweet coconut kaya and butter contrasted with salty, peppered eggs.  [S10]</x:v>
      </x:c>
    </x:row>
    <x:row r="33" ht="34" customHeight="1">
      <x:c r="A33" s="18" t="s">
        <x:v>71</x:v>
      </x:c>
      <x:c r="B33" s="12" t="s">
        <x:v>72</x:v>
      </x:c>
      <x:c r="C33" s="16" t="n">
        <x:v>7</x:v>
      </x:c>
      <x:c r="D33" s="16" t="n">
        <x:v>0</x:v>
      </x:c>
      <x:c r="E33" s="16" t="n">
        <x:v>0.5</x:v>
      </x:c>
      <x:c r="F33" s="16" t="n">
        <x:v>0.5</x:v>
      </x:c>
      <x:c r="G33" s="16" t="n">
        <x:v>5</x:v>
      </x:c>
      <x:c r="H33" s="16" t="n">
        <x:v>8.5</x:v>
      </x:c>
      <x:c r="I33" s="12" t="str">
        <x:v>Condensed milk sweetens strong roasted coffee; no chili heat.  [S10]</x:v>
      </x:c>
    </x:row>
    <x:row r="34" ht="34" customHeight="1">
      <x:c r="A34" s="26" t="s">
        <x:v>73</x:v>
      </x:c>
      <x:c r="B34" s="27" t="s">
        <x:v>74</x:v>
      </x:c>
      <x:c r="C34" s="28" t="n">
        <x:v>7</x:v>
      </x:c>
      <x:c r="D34" s="28" t="n">
        <x:v>0</x:v>
      </x:c>
      <x:c r="E34" s="28" t="n">
        <x:v>0</x:v>
      </x:c>
      <x:c r="F34" s="28" t="n">
        <x:v>0.5</x:v>
      </x:c>
      <x:c r="G34" s="28" t="n">
        <x:v>5</x:v>
      </x:c>
      <x:c r="H34" s="28" t="n">
        <x:v>7</x:v>
      </x:c>
      <x:c r="I34" s="27" t="str">
        <x:v>Sweet condensed milk and concentrated pulled tea; little bitterness remains.  [S21]</x:v>
      </x:c>
    </x:row>
    <x:row r="35" ht="34" customHeight="1">
      <x:c r="A35" s="18" t="s">
        <x:v>75</x:v>
      </x:c>
      <x:c r="B35" s="12" t="s">
        <x:v>76</x:v>
      </x:c>
      <x:c r="C35" s="16" t="n">
        <x:v>9</x:v>
      </x:c>
      <x:c r="D35" s="16" t="n">
        <x:v>0</x:v>
      </x:c>
      <x:c r="E35" s="16" t="n">
        <x:v>1</x:v>
      </x:c>
      <x:c r="F35" s="16" t="n">
        <x:v>0.5</x:v>
      </x:c>
      <x:c r="G35" s="16" t="n">
        <x:v>4.5</x:v>
      </x:c>
      <x:c r="H35" s="16" t="n">
        <x:v>5</x:v>
      </x:c>
      <x:c r="I35" s="12" t="str">
        <x:v>Syrups and sweet beans lead; evaporated milk brings modest creaminess.  [S14]</x:v>
      </x:c>
    </x:row>
    <x:row r="36" ht="34" customHeight="1">
      <x:c r="A36" s="26" t="s">
        <x:v>77</x:v>
      </x:c>
      <x:c r="B36" s="27" t="s">
        <x:v>78</x:v>
      </x:c>
      <x:c r="C36" s="28" t="n">
        <x:v>8</x:v>
      </x:c>
      <x:c r="D36" s="28" t="n">
        <x:v>0</x:v>
      </x:c>
      <x:c r="E36" s="28" t="n">
        <x:v>0</x:v>
      </x:c>
      <x:c r="F36" s="28" t="n">
        <x:v>0.5</x:v>
      </x:c>
      <x:c r="G36" s="28" t="n">
        <x:v>8.5</x:v>
      </x:c>
      <x:c r="H36" s="28" t="n">
        <x:v>6.5</x:v>
      </x:c>
      <x:c r="I36" s="27" t="str">
        <x:v>Sweet yam paste has a silky, often oil/coconut-enriched finish.  [S23]</x:v>
      </x:c>
    </x:row>
    <x:row r="37" ht="34" customHeight="1">
      <x:c r="A37" s="18" t="s">
        <x:v>79</x:v>
      </x:c>
      <x:c r="B37" s="12" t="s">
        <x:v>80</x:v>
      </x:c>
      <x:c r="C37" s="16" t="n">
        <x:v>6</x:v>
      </x:c>
      <x:c r="D37" s="16" t="n">
        <x:v>0</x:v>
      </x:c>
      <x:c r="E37" s="16" t="n">
        <x:v>0</x:v>
      </x:c>
      <x:c r="F37" s="16" t="n">
        <x:v>0</x:v>
      </x:c>
      <x:c r="G37" s="16" t="n">
        <x:v>1.5</x:v>
      </x:c>
      <x:c r="H37" s="16" t="n">
        <x:v>3.5</x:v>
      </x:c>
      <x:c r="I37" s="12" t="str">
        <x:v>Light sugar syrup sweetens delicate soybean curd; low fat and spice.  [S03]</x:v>
      </x:c>
    </x:row>
    <x:row r="38" ht="34" customHeight="1">
      <x:c r="A38" s="26" t="s">
        <x:v>81</x:v>
      </x:c>
      <x:c r="B38" s="27" t="s">
        <x:v>82</x:v>
      </x:c>
      <x:c r="C38" s="28" t="n">
        <x:v>7</x:v>
      </x:c>
      <x:c r="D38" s="28" t="n">
        <x:v>0</x:v>
      </x:c>
      <x:c r="E38" s="28" t="n">
        <x:v>0.5</x:v>
      </x:c>
      <x:c r="F38" s="28" t="n">
        <x:v>1</x:v>
      </x:c>
      <x:c r="G38" s="28" t="n">
        <x:v>7</x:v>
      </x:c>
      <x:c r="H38" s="28" t="n">
        <x:v>6</x:v>
      </x:c>
      <x:c r="I38" s="27" t="str">
        <x:v>Naturally sweet banana and fried batter; oil adds richness.  [S24]</x:v>
      </x:c>
    </x:row>
    <x:row r="39" ht="34" customHeight="1">
      <x:c r="A39" s="18" t="s">
        <x:v>83</x:v>
      </x:c>
      <x:c r="B39" s="12" t="s">
        <x:v>84</x:v>
      </x:c>
      <x:c r="C39" s="16" t="n">
        <x:v>0.5</x:v>
      </x:c>
      <x:c r="D39" s="16" t="n">
        <x:v>3.5</x:v>
      </x:c>
      <x:c r="E39" s="16" t="n">
        <x:v>3</x:v>
      </x:c>
      <x:c r="F39" s="16" t="n">
        <x:v>7</x:v>
      </x:c>
      <x:c r="G39" s="16" t="n">
        <x:v>8.5</x:v>
      </x:c>
      <x:c r="H39" s="16" t="n">
        <x:v>7.5</x:v>
      </x:c>
      <x:c r="I39" s="12" t="str">
        <x:v>Fried egg-starch mixture is oily and savoury; chilli dip adds heat/tang.  [S25]</x:v>
      </x:c>
    </x:row>
    <x:row r="40" ht="34" customHeight="1">
      <x:c r="A40" s="26" t="s">
        <x:v>85</x:v>
      </x:c>
      <x:c r="B40" s="27" t="s">
        <x:v>86</x:v>
      </x:c>
      <x:c r="C40" s="28" t="n">
        <x:v>1.5</x:v>
      </x:c>
      <x:c r="D40" s="28" t="n">
        <x:v>8</x:v>
      </x:c>
      <x:c r="E40" s="28" t="n">
        <x:v>5.5</x:v>
      </x:c>
      <x:c r="F40" s="28" t="n">
        <x:v>7</x:v>
      </x:c>
      <x:c r="G40" s="28" t="n">
        <x:v>5.5</x:v>
      </x:c>
      <x:c r="H40" s="28" t="n">
        <x:v>9</x:v>
      </x:c>
      <x:c r="I40" s="27" t="str">
        <x:v>Spicy sambal and fragrant grill smoke; lime brightens the finished fish.  [S05]</x:v>
      </x:c>
    </x:row>
    <x:row r="41" ht="34" customHeight="1">
      <x:c r="A41" s="18" t="s">
        <x:v>87</x:v>
      </x:c>
      <x:c r="B41" s="12" t="s">
        <x:v>88</x:v>
      </x:c>
      <x:c r="C41" s="16" t="n">
        <x:v>1</x:v>
      </x:c>
      <x:c r="D41" s="16" t="n">
        <x:v>9</x:v>
      </x:c>
      <x:c r="E41" s="16" t="n">
        <x:v>1</x:v>
      </x:c>
      <x:c r="F41" s="16" t="n">
        <x:v>8.5</x:v>
      </x:c>
      <x:c r="G41" s="16" t="n">
        <x:v>8.5</x:v>
      </x:c>
      <x:c r="H41" s="16" t="n">
        <x:v>9</x:v>
      </x:c>
      <x:c r="I41" s="12" t="str">
        <x:v>Chilli oil and Sichuan peppercorn create fiery, numbing spice.  [S26]</x:v>
      </x:c>
    </x:row>
    <x:row r="42" ht="34" customHeight="1">
      <x:c r="A42" s="26" t="s">
        <x:v>89</x:v>
      </x:c>
      <x:c r="B42" s="27" t="s">
        <x:v>90</x:v>
      </x:c>
      <x:c r="C42" s="28" t="n">
        <x:v>1.5</x:v>
      </x:c>
      <x:c r="D42" s="28" t="n">
        <x:v>9</x:v>
      </x:c>
      <x:c r="E42" s="28" t="n">
        <x:v>3</x:v>
      </x:c>
      <x:c r="F42" s="28" t="n">
        <x:v>7</x:v>
      </x:c>
      <x:c r="G42" s="28" t="n">
        <x:v>8.5</x:v>
      </x:c>
      <x:c r="H42" s="28" t="n">
        <x:v>8</x:v>
      </x:c>
      <x:c r="I42" s="27" t="str">
        <x:v>Deep-fried marinated chicken with fiery sambal; heat depends on serving.  [S16]</x:v>
      </x:c>
    </x:row>
    <x:row r="43" ht="34" customHeight="1">
      <x:c r="A43" s="18" t="s">
        <x:v>91</x:v>
      </x:c>
      <x:c r="B43" s="12" t="s">
        <x:v>92</x:v>
      </x:c>
      <x:c r="C43" s="16" t="n">
        <x:v>3</x:v>
      </x:c>
      <x:c r="D43" s="16" t="n">
        <x:v>6</x:v>
      </x:c>
      <x:c r="E43" s="16" t="n">
        <x:v>2</x:v>
      </x:c>
      <x:c r="F43" s="16" t="n">
        <x:v>7</x:v>
      </x:c>
      <x:c r="G43" s="16" t="n">
        <x:v>9</x:v>
      </x:c>
      <x:c r="H43" s="16" t="n">
        <x:v>9.5</x:v>
      </x:c>
      <x:c r="I43" s="12" t="str">
        <x:v>Slow-reduced coconut-spice coating delivers intense richness and aroma.  [S27]</x:v>
      </x:c>
    </x:row>
    <x:row r="44" ht="34" customHeight="1">
      <x:c r="A44" s="26" t="s">
        <x:v>93</x:v>
      </x:c>
      <x:c r="B44" s="27" t="s">
        <x:v>94</x:v>
      </x:c>
      <x:c r="C44" s="28" t="n">
        <x:v>2</x:v>
      </x:c>
      <x:c r="D44" s="28" t="n">
        <x:v>7</x:v>
      </x:c>
      <x:c r="E44" s="28" t="n">
        <x:v>6</x:v>
      </x:c>
      <x:c r="F44" s="28" t="n">
        <x:v>7</x:v>
      </x:c>
      <x:c r="G44" s="28" t="n">
        <x:v>7.5</x:v>
      </x:c>
      <x:c r="H44" s="28" t="n">
        <x:v>9</x:v>
      </x:c>
      <x:c r="I44" s="27" t="str">
        <x:v>Aromatic curry, tamarind/tomato tang and chilli; richness varies by style.  [S17]</x:v>
      </x:c>
    </x:row>
    <x:row r="45" ht="34" customHeight="1">
      <x:c r="A45" s="18" t="s">
        <x:v>95</x:v>
      </x:c>
      <x:c r="B45" s="12" t="s">
        <x:v>96</x:v>
      </x:c>
      <x:c r="C45" s="16" t="n">
        <x:v>2</x:v>
      </x:c>
      <x:c r="D45" s="16" t="n">
        <x:v>4.5</x:v>
      </x:c>
      <x:c r="E45" s="16" t="n">
        <x:v>2</x:v>
      </x:c>
      <x:c r="F45" s="16" t="n">
        <x:v>7</x:v>
      </x:c>
      <x:c r="G45" s="16" t="n">
        <x:v>6.5</x:v>
      </x:c>
      <x:c r="H45" s="16" t="n">
        <x:v>9.5</x:v>
      </x:c>
      <x:c r="I45" s="12" t="str">
        <x:v>Whole spices perfume basmati; accompanying chicken curry sets heat level.  [S27]</x:v>
      </x:c>
    </x:row>
    <x:row r="46" ht="34" customHeight="1">
      <x:c r="A46" s="26" t="s">
        <x:v>97</x:v>
      </x:c>
      <x:c r="B46" s="27" t="s">
        <x:v>98</x:v>
      </x:c>
      <x:c r="C46" s="28" t="n">
        <x:v>5.5</x:v>
      </x:c>
      <x:c r="D46" s="28" t="n">
        <x:v>2.5</x:v>
      </x:c>
      <x:c r="E46" s="28" t="n">
        <x:v>0.5</x:v>
      </x:c>
      <x:c r="F46" s="28" t="n">
        <x:v>4.5</x:v>
      </x:c>
      <x:c r="G46" s="28" t="n">
        <x:v>3.5</x:v>
      </x:c>
      <x:c r="H46" s="28" t="n">
        <x:v>5.5</x:v>
      </x:c>
      <x:c r="I46" s="27" t="str">
        <x:v>Sweet sauce and braised turnip; chilli is spread sparingly or optional.  [S01]</x:v>
      </x:c>
    </x:row>
    <x:row r="47" ht="34" customHeight="1">
      <x:c r="A47" s="18" t="s">
        <x:v>99</x:v>
      </x:c>
      <x:c r="B47" s="12" t="s">
        <x:v>100</x:v>
      </x:c>
      <x:c r="C47" s="16" t="n">
        <x:v>1.5</x:v>
      </x:c>
      <x:c r="D47" s="16" t="n">
        <x:v>1.5</x:v>
      </x:c>
      <x:c r="E47" s="16" t="n">
        <x:v>0.5</x:v>
      </x:c>
      <x:c r="F47" s="16" t="n">
        <x:v>7</x:v>
      </x:c>
      <x:c r="G47" s="16" t="n">
        <x:v>6</x:v>
      </x:c>
      <x:c r="H47" s="16" t="n">
        <x:v>6.5</x:v>
      </x:c>
      <x:c r="I47" s="12" t="str">
        <x:v>Salty preserved radish and seasoned oil; chilli is a side condiment.  [S01]</x:v>
      </x:c>
    </x:row>
    <x:row r="48" ht="34" customHeight="1">
      <x:c r="A48" s="26" t="s">
        <x:v>101</x:v>
      </x:c>
      <x:c r="B48" s="27" t="s">
        <x:v>102</x:v>
      </x:c>
      <x:c r="C48" s="28" t="n">
        <x:v>1</x:v>
      </x:c>
      <x:c r="D48" s="28" t="n">
        <x:v>0.5</x:v>
      </x:c>
      <x:c r="E48" s="28" t="n">
        <x:v>0.5</x:v>
      </x:c>
      <x:c r="F48" s="28" t="n">
        <x:v>5.5</x:v>
      </x:c>
      <x:c r="G48" s="28" t="n">
        <x:v>4.5</x:v>
      </x:c>
      <x:c r="H48" s="28" t="n">
        <x:v>5.5</x:v>
      </x:c>
      <x:c r="I48" s="27" t="str">
        <x:v>Plain fried bee hoon is lightly seasoned; side dishes not included.  [WB]</x:v>
      </x:c>
    </x:row>
    <x:row r="49" ht="34" customHeight="1">
      <x:c r="A49" s="18" t="s">
        <x:v>103</x:v>
      </x:c>
      <x:c r="B49" s="12" t="s">
        <x:v>104</x:v>
      </x:c>
      <x:c r="C49" s="16" t="n">
        <x:v>3.5</x:v>
      </x:c>
      <x:c r="D49" s="16" t="n">
        <x:v>1</x:v>
      </x:c>
      <x:c r="E49" s="16" t="n">
        <x:v>0</x:v>
      </x:c>
      <x:c r="F49" s="16" t="n">
        <x:v>8</x:v>
      </x:c>
      <x:c r="G49" s="16" t="n">
        <x:v>7.5</x:v>
      </x:c>
      <x:c r="H49" s="16" t="n">
        <x:v>8.5</x:v>
      </x:c>
      <x:c r="I49" s="12" t="str">
        <x:v>Soy sauce, cured sausage and crisp scorched rice give rich toasty aroma.  [S19]</x:v>
      </x:c>
    </x:row>
    <x:row r="50" ht="34" customHeight="1">
      <x:c r="A50" s="26" t="s">
        <x:v>105</x:v>
      </x:c>
      <x:c r="B50" s="27" t="s">
        <x:v>106</x:v>
      </x:c>
      <x:c r="C50" s="28" t="n">
        <x:v>1</x:v>
      </x:c>
      <x:c r="D50" s="28" t="n">
        <x:v>0.5</x:v>
      </x:c>
      <x:c r="E50" s="28" t="n">
        <x:v>0</x:v>
      </x:c>
      <x:c r="F50" s="28" t="n">
        <x:v>8.5</x:v>
      </x:c>
      <x:c r="G50" s="28" t="n">
        <x:v>8</x:v>
      </x:c>
      <x:c r="H50" s="28" t="n">
        <x:v>7.5</x:v>
      </x:c>
      <x:c r="I50" s="27" t="str">
        <x:v>Fermented prawn paste provides intense umami/salt; fried skin adds fat.  [S20]</x:v>
      </x:c>
    </x:row>
    <x:row r="51" ht="34" customHeight="1">
      <x:c r="A51" s="18" t="s">
        <x:v>107</x:v>
      </x:c>
      <x:c r="B51" s="12" t="s">
        <x:v>108</x:v>
      </x:c>
      <x:c r="C51" s="16" t="n">
        <x:v>2.5</x:v>
      </x:c>
      <x:c r="D51" s="16" t="n">
        <x:v>8</x:v>
      </x:c>
      <x:c r="E51" s="16" t="n">
        <x:v>9</x:v>
      </x:c>
      <x:c r="F51" s="16" t="n">
        <x:v>7</x:v>
      </x:c>
      <x:c r="G51" s="16" t="n">
        <x:v>2.5</x:v>
      </x:c>
      <x:c r="H51" s="16" t="n">
        <x:v>9</x:v>
      </x:c>
      <x:c r="I51" s="12" t="str">
        <x:v>Clear-style prawn tom yum: lime, chilli, lemongrass and galangal lead.  [S28]</x:v>
      </x:c>
    </x:row>
  </x:sheetData>
  <x:conditionalFormatting sqref="C2:H51">
    <x:cfRule type="colorScale" priority="1">
      <x:colorScale>
        <x:cfvo type="min"/>
        <x:cfvo type="percentile" val="50"/>
        <x:cfvo type="max"/>
        <x:color rgb="FFF6F8FB"/>
        <x:color rgb="FFDDECF8"/>
        <x:color rgb="FF89BEDA"/>
      </x:colorScale>
    </x:cfRule>
  </x:conditionalFormatting>
  <x:dataValidations count="2">
    <x:dataValidation type="decimal" allowBlank="1" showErrorMessage="1" error="Use a number from 0 to 10" sqref="C10:H51">
      <x:formula1>0</x:formula1>
      <x:formula2>10</x:formula2>
    </x:dataValidation>
    <x:dataValidation type="decimal" allowBlank="1" showErrorMessage="1" error="Use a number from 0 to 10" sqref="C2:H51">
      <x:formula1>0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43" customHeight="1">
      <x:c r="A1" s="64" t="s">
        <x:v>109</x:v>
      </x:c>
    </x:row>
    <x:row r="2" ht="42" customHeight="1">
      <x:c r="A2" s="54" t="s">
        <x:v>110</x:v>
      </x:c>
    </x:row>
    <x:row r="3" ht="42" customHeight="1">
      <x:c r="A3" s="54" t="s">
        <x:v>111</x:v>
      </x:c>
    </x:row>
    <x:row r="4" ht="42" customHeight="1">
      <x:c r="A4" s="54" t="s">
        <x:v>112</x:v>
      </x:c>
    </x:row>
    <x:row r="5" ht="42" customHeight="1">
      <x:c r="A5" s="54" t="s">
        <x:v>113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7" topLeftCell="A18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62" hidden="0" customWidth="1"/>
    <x:col min="4" max="4" width="68" hidden="0" customWidth="1"/>
  </x:cols>
  <x:sheetData>
    <x:row r="1" ht="40" customHeight="1">
      <x:c r="A1" s="34" t="str">
        <x:v>SINGAPORE TASTE PROFILE | REVIEW AND SOURCES</x:v>
      </x:c>
      <x:c r="B1" s="34"/>
      <x:c r="C1" s="34"/>
      <x:c r="D1" s="34"/>
    </x:row>
    <x:row r="2" ht="30" customHeight="1">
      <x:c r="A2" s="40" t="str">
        <x:v>Reviewed 18 October 2026  |  50 Singapore-context dishes  |  Six independent dimensions</x:v>
      </x:c>
      <x:c r="B2" s="40"/>
      <x:c r="C2" s="40"/>
      <x:c r="D2" s="40"/>
    </x:row>
    <x:row r="4" ht="28" customHeight="1">
      <x:c r="A4" s="44" t="str">
        <x:v>Dish count</x:v>
      </x:c>
      <x:c r="B4" s="46" t="n">
        <x:f>COUNTA('Answer key'!A2:A51)</x:f>
        <x:v>50</x:v>
      </x:c>
      <x:c r="C4" s="44" t="str">
        <x:v>Ratings entered</x:v>
      </x:c>
      <x:c r="D4" s="46" t="n">
        <x:f>COUNT('Answer key'!C2:H51)</x:f>
        <x:v>300</x:v>
      </x:c>
    </x:row>
    <x:row r="5" ht="28" customHeight="1">
      <x:c r="A5" s="44" t="str">
        <x:v>Ratings expected</x:v>
      </x:c>
      <x:c r="B5" s="46" t="n">
        <x:f>B4*6</x:f>
        <x:v>300</x:v>
      </x:c>
      <x:c r="C5" s="44" t="str">
        <x:v>Completion check</x:v>
      </x:c>
      <x:c r="D5" s="46" t="str">
        <x:f>IF(D4=B5,"COMPLETE","INCOMPLETE")</x:f>
        <x:v>COMPLETE</x:v>
      </x:c>
    </x:row>
    <x:row r="7" ht="29" customHeight="1">
      <x:c r="A7" s="50" t="str">
        <x:v>HOW THE SIX SCORES WERE ESTIMATED</x:v>
      </x:c>
      <x:c r="B7" s="50"/>
      <x:c r="C7" s="50"/>
      <x:c r="D7" s="50"/>
    </x:row>
    <x:row r="8" ht="29" customHeight="1">
      <x:c r="A8" s="54" t="str">
        <x:v>0 = absent; 1–2 = faint; 3–4 = mild; 5–6 = moderate; 7–8 = strong; 9–10 = very strong/dominant.</x:v>
      </x:c>
      <x:c r="B8" s="54"/>
      <x:c r="C8" s="54"/>
      <x:c r="D8" s="54"/>
    </x:row>
    <x:row r="9" ht="29" customHeight="1">
      <x:c r="A9" s="54" t="str">
        <x:v>Values use increments of 0.5. Scores are reasoned taste estimates, not objectively measured chemical or panel data.</x:v>
      </x:c>
      <x:c r="B9" s="54"/>
      <x:c r="C9" s="54"/>
      <x:c r="D9" s="54"/>
    </x:row>
    <x:row r="10" ht="29" customHeight="1">
      <x:c r="A10" s="54" t="str">
        <x:v>Sweet / Spicy / Sour / Salty rate perceived taste intensity; Spicy includes chilli, white pepper and black pepper warmth.</x:v>
      </x:c>
      <x:c r="B10" s="54"/>
      <x:c r="C10" s="54"/>
      <x:c r="D10" s="54"/>
    </x:row>
    <x:row r="11" ht="29" customHeight="1">
      <x:c r="A11" s="54" t="str">
        <x:v>Rich follows the workbook rubric: fat, coconut milk, oil, creaminess. Aromatic: herbs, spices, wok hei and fragrance.</x:v>
      </x:c>
      <x:c r="B11" s="54"/>
      <x:c r="C11" s="54"/>
      <x:c r="D11" s="54"/>
    </x:row>
    <x:row r="12" ht="29" customHeight="1">
      <x:c r="A12" s="54" t="str">
        <x:v>Baseline is a typical Singapore hawker-style serving, with the stated accompaniments; optional chilli/dips generally get moderate weight.</x:v>
      </x:c>
      <x:c r="B12" s="54"/>
      <x:c r="C12" s="54"/>
      <x:c r="D12" s="54"/>
    </x:row>
    <x:row r="13" ht="29" customHeight="1">
      <x:c r="A13" s="54" t="str">
        <x:v>Where recipes vary (sambal, curry, soy, toppings), the rating is a representative baseline; a given stall may differ markedly.</x:v>
      </x:c>
      <x:c r="B13" s="54"/>
      <x:c r="C13" s="54"/>
      <x:c r="D13" s="54"/>
    </x:row>
    <x:row r="14" ht="29" customHeight="1">
      <x:c r="A14" s="54" t="str">
        <x:v>Sources substantiate dish components/flavour descriptions, not the exact numeric scores. [WB] means original workbook only.</x:v>
      </x:c>
      <x:c r="B14" s="54"/>
      <x:c r="C14" s="54"/>
      <x:c r="D14" s="54"/>
    </x:row>
    <x:row r="15" ht="29" customHeight="1">
      <x:c r="A15" s="54" t="str">
        <x:v>Four example dishes (chicken rice, laksa, chendol and assam fish) remain in the original evaluation positions.</x:v>
      </x:c>
      <x:c r="B15" s="54"/>
      <x:c r="C15" s="54"/>
      <x:c r="D15" s="54"/>
    </x:row>
    <x:row r="17" ht="30" customHeight="1">
      <x:c r="A17" s="57" t="str">
        <x:v>ID</x:v>
      </x:c>
      <x:c r="B17" s="57" t="str">
        <x:v>Publisher</x:v>
      </x:c>
      <x:c r="C17" s="57" t="str">
        <x:v>Primary relevance</x:v>
      </x:c>
      <x:c r="D17" s="57" t="str">
        <x:v>URL (plain text)</x:v>
      </x:c>
    </x:row>
    <x:row r="18" ht="46" customHeight="1">
      <x:c r="A18" s="60" t="str">
        <x:v>S01</x:v>
      </x:c>
      <x:c r="B18" s="60" t="str">
        <x:v>MICHELIN Guide</x:v>
      </x:c>
      <x:c r="C18" s="60" t="str">
        <x:v>Must-try hawker dishes: chicken rice, laksa, Hokkien mee, prawn mee, wanton mee, bak chor mee, satay, carrot cake, popiah, fish soup, chwee kueh</x:v>
      </x:c>
      <x:c r="D18" s="60" t="str">
        <x:v>https://guide.michelin.com/sg/en/article/travel/must-try-hawker-food-in-singapore</x:v>
      </x:c>
    </x:row>
    <x:row r="19" ht="46" customHeight="1">
      <x:c r="A19" s="54" t="str">
        <x:v>S02</x:v>
      </x:c>
      <x:c r="B19" s="54" t="str">
        <x:v>MICHELIN Guide</x:v>
      </x:c>
      <x:c r="C19" s="54" t="str">
        <x:v>Noodle preparation: char kway teow and dry fishball noodles</x:v>
      </x:c>
      <x:c r="D19" s="54" t="str">
        <x:v>https://guide.michelin.com/en/best-of/best-noodles-in-singapore</x:v>
      </x:c>
    </x:row>
    <x:row r="20" ht="46" customHeight="1">
      <x:c r="A20" s="60" t="str">
        <x:v>S03</x:v>
      </x:c>
      <x:c r="B20" s="60" t="str">
        <x:v>MICHELIN Guide</x:v>
      </x:c>
      <x:c r="C20" s="60" t="str">
        <x:v>Local desserts: chendol and tau huay</x:v>
      </x:c>
      <x:c r="D20" s="60" t="str">
        <x:v>https://guide.michelin.com/sg/en/article/travel/singapore-must-try-local-desserts</x:v>
      </x:c>
    </x:row>
    <x:row r="21" ht="46" customHeight="1">
      <x:c r="A21" s="54" t="str">
        <x:v>S04</x:v>
      </x:c>
      <x:c r="B21" s="54" t="str">
        <x:v>Singapore Food Shows</x:v>
      </x:c>
      <x:c r="C21" s="54" t="str">
        <x:v>Assam pedas fish: tamarind, chilli, spice paste and herbs</x:v>
      </x:c>
      <x:c r="D21" s="54" t="str">
        <x:v>https://singaporefoodshows.com.sg/assam-pedas</x:v>
      </x:c>
    </x:row>
    <x:row r="22" ht="46" customHeight="1">
      <x:c r="A22" s="60" t="str">
        <x:v>S05</x:v>
      </x:c>
      <x:c r="B22" s="60" t="str">
        <x:v>MICHELIN Guide</x:v>
      </x:c>
      <x:c r="C22" s="60" t="str">
        <x:v>Chilli crab, black pepper crab, sambal stingray and fish head curry</x:v>
      </x:c>
      <x:c r="D22" s="60" t="str">
        <x:v>https://guide.michelin.com/sg/en/best-of/where-to-get-the-best-spicy-food-in-singapore</x:v>
      </x:c>
    </x:row>
    <x:row r="23" ht="46" customHeight="1">
      <x:c r="A23" s="54" t="str">
        <x:v>S06</x:v>
      </x:c>
      <x:c r="B23" s="54" t="str">
        <x:v>National Heritage Board (Roots)</x:v>
      </x:c>
      <x:c r="C23" s="54" t="str">
        <x:v>Teochew bak kut teh: clear peppery garlic broth</x:v>
      </x:c>
      <x:c r="D23" s="54" t="str">
        <x:v>https://www.roots.gov.sg/places/places-landing/Places/landmarks/balestier-food-trail/kai-juan-bak-kut-teh</x:v>
      </x:c>
    </x:row>
    <x:row r="24" ht="46" customHeight="1">
      <x:c r="A24" s="60" t="str">
        <x:v>S07</x:v>
      </x:c>
      <x:c r="B24" s="60" t="str">
        <x:v>MICHELIN Guide</x:v>
      </x:c>
      <x:c r="C24" s="60" t="str">
        <x:v>Mee siam: tangy, lightly sweet, gently spicy gravy</x:v>
      </x:c>
      <x:c r="D24" s="60" t="str">
        <x:v>https://guide.michelin.com/jp/en/article/dining-out/inspectors-favourite-dishes-singapore-2026</x:v>
      </x:c>
    </x:row>
    <x:row r="25" ht="46" customHeight="1">
      <x:c r="A25" s="54" t="str">
        <x:v>S08</x:v>
      </x:c>
      <x:c r="B25" s="54" t="str">
        <x:v>MICHELIN Guide</x:v>
      </x:c>
      <x:c r="C25" s="54" t="str">
        <x:v>Lor mee: thick gravy, vinegar and chilli</x:v>
      </x:c>
      <x:c r="D25" s="54" t="str">
        <x:v>https://guide.michelin.com/en/article/dining-out/breakfast-club-5-lor-mee-hawker-stalls-where-you-mustn%27t-pass-on-the-gravy</x:v>
      </x:c>
    </x:row>
    <x:row r="26" ht="46" customHeight="1">
      <x:c r="A26" s="60" t="str">
        <x:v>S09</x:v>
      </x:c>
      <x:c r="B26" s="60" t="str">
        <x:v>MICHELIN Guide</x:v>
      </x:c>
      <x:c r="C26" s="60" t="str">
        <x:v>Rojak: sweet, tangy, spicy sauce with fruit and vegetables</x:v>
      </x:c>
      <x:c r="D26" s="60" t="str">
        <x:v>https://guide.michelin.com/sg/en/singapore-region/singapore/restaurant/rojak%E2%80%A7popiah-cockle</x:v>
      </x:c>
    </x:row>
    <x:row r="27" ht="46" customHeight="1">
      <x:c r="A27" s="54" t="str">
        <x:v>S10</x:v>
      </x:c>
      <x:c r="B27" s="54" t="str">
        <x:v>MICHELIN Guide</x:v>
      </x:c>
      <x:c r="C27" s="54" t="str">
        <x:v>Kaya toast and kopi: coconut-egg jam, butter, eggs, coffee</x:v>
      </x:c>
      <x:c r="D27" s="54" t="str">
        <x:v>https://guide.michelin.com/sg/en/article/dining-in/labyrinth-traditional-kaya-recipe</x:v>
      </x:c>
    </x:row>
    <x:row r="28" ht="46" customHeight="1">
      <x:c r="A28" s="60" t="str">
        <x:v>S11</x:v>
      </x:c>
      <x:c r="B28" s="60" t="str">
        <x:v>MICHELIN Guide</x:v>
      </x:c>
      <x:c r="C28" s="60" t="str">
        <x:v>Nasi lemak: pandan/coconut rice, sambal and side dishes</x:v>
      </x:c>
      <x:c r="D28" s="60" t="str">
        <x:v>https://guide.michelin.com/sg/en/article/dining-out/best-new-restaurants-in-singapore-2024</x:v>
      </x:c>
    </x:row>
    <x:row r="29" ht="46" customHeight="1">
      <x:c r="A29" s="54" t="str">
        <x:v>S12</x:v>
      </x:c>
      <x:c r="B29" s="54" t="str">
        <x:v>MICHELIN Guide</x:v>
      </x:c>
      <x:c r="C29" s="54" t="str">
        <x:v>Braised duck rice: spiced soy marinade</x:v>
      </x:c>
      <x:c r="D29" s="54" t="str">
        <x:v>https://guide.michelin.com/sg/en/singapore-region/singapore/restaurant/cheng-heng-kway-chap-and-braised-duck-rice</x:v>
      </x:c>
    </x:row>
    <x:row r="30" ht="46" customHeight="1">
      <x:c r="A30" s="60" t="str">
        <x:v>S13</x:v>
      </x:c>
      <x:c r="B30" s="60" t="str">
        <x:v>MICHELIN Guide</x:v>
      </x:c>
      <x:c r="C30" s="60" t="str">
        <x:v>Hawker preparations including plain vs black carrot cake and roti prata</x:v>
      </x:c>
      <x:c r="D30" s="60" t="str">
        <x:v>https://guide.michelin.com/sg/en/article/travel/a-singapore-hawker-guide-for-vegetarians</x:v>
      </x:c>
    </x:row>
    <x:row r="31" ht="46" customHeight="1">
      <x:c r="A31" s="54" t="str">
        <x:v>S14</x:v>
      </x:c>
      <x:c r="B31" s="54" t="str">
        <x:v>CNA Lifestyle</x:v>
      </x:c>
      <x:c r="C31" s="54" t="str">
        <x:v>Ice kacang: sugar syrups, beans, evaporated milk, shaved ice</x:v>
      </x:c>
      <x:c r="D31" s="54" t="str">
        <x:v>https://cnalifestyle.channelnewsasia.com/dining/best-food-singapore-dessert-teck-kee-adam-road-food-centre-329556</x:v>
      </x:c>
    </x:row>
    <x:row r="32" ht="46" customHeight="1">
      <x:c r="A32" s="60" t="str">
        <x:v>S16</x:v>
      </x:c>
      <x:c r="B32" s="60" t="str">
        <x:v>MICHELIN Guide</x:v>
      </x:c>
      <x:c r="C32" s="60" t="str">
        <x:v>Ayam penyet: fried chicken and very hot sambal</x:v>
      </x:c>
      <x:c r="D32" s="60" t="str">
        <x:v>https://guide.michelin.com/sg/en/article/dining-out/top-5-spots-for-ayam-penyet-if-you-re-feeling-peckish</x:v>
      </x:c>
    </x:row>
    <x:row r="33" ht="46" customHeight="1">
      <x:c r="A33" s="54" t="str">
        <x:v>S17</x:v>
      </x:c>
      <x:c r="B33" s="54" t="str">
        <x:v>National Heritage Board (Roots)</x:v>
      </x:c>
      <x:c r="C33" s="54" t="str">
        <x:v>Fish head curry: spicy curry and tangy variants</x:v>
      </x:c>
      <x:c r="D33" s="54" t="str">
        <x:v>https://www.roots.gov.sg/ich-landing/ich/fish-head-curry</x:v>
      </x:c>
    </x:row>
    <x:row r="34" ht="46" customHeight="1">
      <x:c r="A34" s="60" t="str">
        <x:v>S19</x:v>
      </x:c>
      <x:c r="B34" s="60" t="str">
        <x:v>MICHELIN Guide</x:v>
      </x:c>
      <x:c r="C34" s="60" t="str">
        <x:v>Claypot rice: sweet dark soy, oils, chicken/cured meats</x:v>
      </x:c>
      <x:c r="D34" s="60" t="str">
        <x:v>https://guide.michelin.com/sg/en/article/dining-out/over-hot-coals-5-claypot-rice-that-s-worth-the-wait</x:v>
      </x:c>
    </x:row>
    <x:row r="35" ht="46" customHeight="1">
      <x:c r="A35" s="54" t="str">
        <x:v>S20</x:v>
      </x:c>
      <x:c r="B35" s="54" t="str">
        <x:v>MICHELIN Guide</x:v>
      </x:c>
      <x:c r="C35" s="54" t="str">
        <x:v>Prawn paste chicken: fermented savoury marinade, deep-frying</x:v>
      </x:c>
      <x:c r="D35" s="54" t="str">
        <x:v>https://guide.michelin.com/en/article/features/behind-the-bib-kok-sen</x:v>
      </x:c>
    </x:row>
    <x:row r="36" ht="46" customHeight="1">
      <x:c r="A36" s="60" t="str">
        <x:v>S21</x:v>
      </x:c>
      <x:c r="B36" s="60" t="str">
        <x:v>MICHELIN Guide</x:v>
      </x:c>
      <x:c r="C36" s="60" t="str">
        <x:v>Pulled tea sweetened with condensed milk; regional preparation</x:v>
      </x:c>
      <x:c r="D36" s="60" t="str">
        <x:v>https://guide.michelin.com/en/article/dining-out/food-walk-3-enjoying-food-from-the-deep-south-in-ramkhamhaeng</x:v>
      </x:c>
    </x:row>
    <x:row r="37" ht="46" customHeight="1">
      <x:c r="A37" s="54" t="str">
        <x:v>S23</x:v>
      </x:c>
      <x:c r="B37" s="54" t="str">
        <x:v>MICHELIN Guide</x:v>
      </x:c>
      <x:c r="C37" s="54" t="str">
        <x:v>Teochew orh nee: yam paste dessert</x:v>
      </x:c>
      <x:c r="D37" s="54" t="str">
        <x:v>https://guide.michelin.com/en/article/dining-out/6-restaurants-for-authentic-teochew-fare</x:v>
      </x:c>
    </x:row>
    <x:row r="38" ht="46" customHeight="1">
      <x:c r="A38" s="60" t="str">
        <x:v>S24</x:v>
      </x:c>
      <x:c r="B38" s="60" t="str">
        <x:v>National Heritage Board (Roots)</x:v>
      </x:c>
      <x:c r="C38" s="60" t="str">
        <x:v>Goreng pisang as a local fried banana snack</x:v>
      </x:c>
      <x:c r="D38" s="60" t="str">
        <x:v>https://www.roots.gov.sg/-/media/Roots/Files/orchard-heritage-trail/nhb_orchard_trail-booklet_full.pdf</x:v>
      </x:c>
    </x:row>
    <x:row r="39" ht="46" customHeight="1">
      <x:c r="A39" s="54" t="str">
        <x:v>S25</x:v>
      </x:c>
      <x:c r="B39" s="54" t="str">
        <x:v>MICHELIN Guide</x:v>
      </x:c>
      <x:c r="C39" s="54" t="str">
        <x:v>Oyster omelette: savoury fried eggs/oysters with chilli and starch (Fujian-style example)</x:v>
      </x:c>
      <x:c r="D39" s="54" t="str">
        <x:v>https://guide.michelin.com/sg/en/article/dining-in/recipe-fujian-crispy-oysters-putien</x:v>
      </x:c>
    </x:row>
    <x:row r="40" ht="46" customHeight="1">
      <x:c r="A40" s="60" t="str">
        <x:v>S26</x:v>
      </x:c>
      <x:c r="B40" s="60" t="str">
        <x:v>MICHELIN Guide</x:v>
      </x:c>
      <x:c r="C40" s="60" t="str">
        <x:v>Mala xiang guo: chilli heat and Sichuan peppercorn numbing sensation</x:v>
      </x:c>
      <x:c r="D40" s="60" t="str">
        <x:v>https://guide.michelin.com/sg/en/article/features/10-biggest-food-happenings-in-singapore-in-2018</x:v>
      </x:c>
    </x:row>
    <x:row r="41" ht="46" customHeight="1">
      <x:c r="A41" s="54" t="str">
        <x:v>S27</x:v>
      </x:c>
      <x:c r="B41" s="54" t="str">
        <x:v>MICHELIN Guide</x:v>
      </x:c>
      <x:c r="C41" s="54" t="str">
        <x:v>Chicken biryani and beef rendang in Singapore hawker/Malay-Muslim dining</x:v>
      </x:c>
      <x:c r="D41" s="54" t="str">
        <x:v>https://guide.michelin.com/sg/en/article/dining-out/5-michelin-listed-muslim-stalls-to-try-this-ramadan</x:v>
      </x:c>
    </x:row>
    <x:row r="42" ht="46" customHeight="1">
      <x:c r="A42" s="60" t="str">
        <x:v>S28</x:v>
      </x:c>
      <x:c r="B42" s="60" t="str">
        <x:v>MICHELIN Guide</x:v>
      </x:c>
      <x:c r="C42" s="60" t="str">
        <x:v>Tom yum: sour lime, chillies, fragrant herbs, fish sauce and slight sugar</x:v>
      </x:c>
      <x:c r="D42" s="60" t="str">
        <x:v>https://guide.michelin.com/en/article/features/thai-soups-explained-tom-kha-tom-yum-tom-klong-and-tom-som</x:v>
      </x:c>
    </x:row>
    <x:row r="43" ht="46" customHeight="1">
      <x:c r="A43" s="54" t="str">
        <x:v>WB</x:v>
      </x:c>
      <x:c r="B43" s="54" t="str">
        <x:v>Original workbook</x:v>
      </x:c>
      <x:c r="C43" s="54" t="str">
        <x:v>Ingredient-based interpretation of the original 'What it is' description; not independently substantiated</x:v>
      </x:c>
      <x:c r="D43" s="54" t="str"/>
    </x:row>
  </x:sheetData>
  <x:mergeCells>
    <x:mergeCell ref="A1:D1"/>
    <x:mergeCell ref="A2:D2"/>
    <x:mergeCell ref="A7:D7"/>
    <x:mergeCell ref="A8:D8"/>
    <x:mergeCell ref="A9:D9"/>
    <x:mergeCell ref="A10:D10"/>
    <x:mergeCell ref="A11:D11"/>
    <x:mergeCell ref="A12:D12"/>
    <x:mergeCell ref="A13:D13"/>
    <x:mergeCell ref="A14:D14"/>
    <x:mergeCell ref="A15:D15"/>
  </x:mergeCells>
  <x:pageMargins left="0.7" right="0.7" top="0.75" bottom="0.75" header="0.3" footer="0.3"/>
</x:worksheet>
</file>